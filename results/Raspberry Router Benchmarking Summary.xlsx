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n\Documents\"/>
    </mc:Choice>
  </mc:AlternateContent>
  <xr:revisionPtr revIDLastSave="0" documentId="8_{2063B1A5-0C7E-4AE7-B966-EF1236A9F50D}" xr6:coauthVersionLast="47" xr6:coauthVersionMax="47" xr10:uidLastSave="{00000000-0000-0000-0000-000000000000}"/>
  <bookViews>
    <workbookView xWindow="-120" yWindow="-120" windowWidth="29040" windowHeight="15720" xr2:uid="{2B755A66-FF2F-4AE1-9E1F-4DCD7BBBE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1" l="1"/>
  <c r="C10" i="1"/>
  <c r="E7" i="1"/>
  <c r="F7" i="1"/>
  <c r="F10" i="1"/>
  <c r="D10" i="1"/>
  <c r="D7" i="1"/>
  <c r="C7" i="1"/>
  <c r="E10" i="1"/>
  <c r="H15" i="1" l="1"/>
  <c r="G16" i="1" l="1"/>
  <c r="H16" i="1"/>
  <c r="G14" i="1"/>
  <c r="H14" i="1"/>
  <c r="G15" i="1"/>
</calcChain>
</file>

<file path=xl/sharedStrings.xml><?xml version="1.0" encoding="utf-8"?>
<sst xmlns="http://schemas.openxmlformats.org/spreadsheetml/2006/main" count="51" uniqueCount="43">
  <si>
    <t>Raspberry Pi 4 Home Router — Benchmark Summary</t>
  </si>
  <si>
    <t>Paired wired and wireless Speedtest measurements comparing the Raspberry Pi routing system with the original Spectrum router.</t>
  </si>
  <si>
    <t>Key Results</t>
  </si>
  <si>
    <t>Service Tier</t>
  </si>
  <si>
    <t>Avg Raspberry Pi Wired Download</t>
  </si>
  <si>
    <t>Avg Spectrum Wired Download</t>
  </si>
  <si>
    <t>Avg Pi Wired Upload-Loaded Latency</t>
  </si>
  <si>
    <t>Avg Spectrum Wired Upload-Loaded Latency</t>
  </si>
  <si>
    <t>Avg Raspberry Pi Wired Temperature</t>
  </si>
  <si>
    <t>Throughput Summary</t>
  </si>
  <si>
    <t>Location</t>
  </si>
  <si>
    <t>Pi Wired
(Mbps)</t>
  </si>
  <si>
    <t>Spectrum Wired
(Mbps)</t>
  </si>
  <si>
    <t>Pi + EAP650 Wireless
(Mbps)</t>
  </si>
  <si>
    <t>Spectrum Wireless
(Mbps)</t>
  </si>
  <si>
    <t>Pi Wireless Retention</t>
  </si>
  <si>
    <t>Spectrum Wireless Retention</t>
  </si>
  <si>
    <t>Ideal</t>
  </si>
  <si>
    <t>Living Room</t>
  </si>
  <si>
    <t>Bedroom</t>
  </si>
  <si>
    <t>Wired Latency Summary</t>
  </si>
  <si>
    <t>Pi Idle
(ms)</t>
  </si>
  <si>
    <t>Spectrum Idle
(ms)</t>
  </si>
  <si>
    <t>Pi DL-Loaded
(ms)</t>
  </si>
  <si>
    <t>Spectrum DL-Loaded
(ms)</t>
  </si>
  <si>
    <t>Pi UL-Loaded
(ms)</t>
  </si>
  <si>
    <t>Spectrum UL-Loaded
(ms)</t>
  </si>
  <si>
    <t>Wireless Download Variability and Raspberry Pi Thermal Summary</t>
  </si>
  <si>
    <t>Pi Wireless SD
(Mbps)</t>
  </si>
  <si>
    <t>Spectrum Wireless SD
(Mbps)</t>
  </si>
  <si>
    <t>Pi Wired Temp
(°C)</t>
  </si>
  <si>
    <t>Notes</t>
  </si>
  <si>
    <t>Near-identical wireless throughput under favorable RF conditions.</t>
  </si>
  <si>
    <t>Spectrum retained more throughput; Pi/EAP650 showed lower download variability.</t>
  </si>
  <si>
    <t>Largest throughput gap; Pi/EAP650 still showed lower download variability.</t>
  </si>
  <si>
    <t>Methodology</t>
  </si>
  <si>
    <t>Ten paired measurements were collected at each location using the same Speedtest server. Wired and wireless runs were alternated to reduce time-dependent ISP/server variability. Wireless locations: Ideal (~3 ft), Living Room (~16 ft line of sight), and Bedroom (~20 ft, closed door/no direct line of sight). Raw measurements are preserved on the Raw Results sheet.</t>
  </si>
  <si>
    <t>Workbook formulas are set to recalculate automatically when opened in Excel. Summary charts use the same underlying raw measurements.</t>
  </si>
  <si>
    <t xml:space="preserve"> </t>
  </si>
  <si>
    <t>Avg Raspberry Pi Wireless Download</t>
  </si>
  <si>
    <t>Avg Spectrum Wirelesss Download</t>
  </si>
  <si>
    <t>Avg Pi Wired Download-Loaded Latency</t>
  </si>
  <si>
    <t>Avg Spectrum Wired Download-Loaded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</si>
</sst>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\ &quot;Mbps&quot;"/>
    <numFmt numFmtId="165" formatCode="0.0\ &quot;Mbps&quot;"/>
    <numFmt numFmtId="166" formatCode="0.0\ &quot;ms&quot;"/>
    <numFmt numFmtId="167" formatCode="0.0\ &quot;°C&quot;"/>
    <numFmt numFmtId="168" formatCode="0.0"/>
    <numFmt numFmtId="169" formatCode="0.0%"/>
  </numFmts>
  <fonts count="15" x14ac:knownFonts="1">
    <font>
      <sz val="11"/>
      <color theme="1"/>
      <name val="Aptos Narrow"/>
      <family val="2"/>
      <scheme val="minor"/>
    </font>
    <font>
      <b/>
      <sz val="22"/>
      <color rgb="FFFFFFFF"/>
      <name val="Aptos Display"/>
    </font>
    <font>
      <i/>
      <sz val="10.5"/>
      <color rgb="FF666666"/>
      <name val="Aptos"/>
    </font>
    <font>
      <b/>
      <sz val="11"/>
      <color rgb="FFFFFFFF"/>
      <name val="Aptos"/>
    </font>
    <font>
      <b/>
      <sz val="9"/>
      <color rgb="FF17365D"/>
      <name val="Aptos"/>
    </font>
    <font>
      <b/>
      <sz val="18"/>
      <color rgb="FF0F6B78"/>
      <name val="Aptos Display"/>
    </font>
    <font>
      <b/>
      <sz val="18"/>
      <color rgb="FF000000"/>
      <name val="Aptos Display"/>
    </font>
    <font>
      <b/>
      <sz val="9"/>
      <color rgb="FFFFFFFF"/>
      <name val="Aptos"/>
    </font>
    <font>
      <b/>
      <sz val="10"/>
      <color rgb="FF666666"/>
      <name val="Aptos"/>
    </font>
    <font>
      <sz val="10"/>
      <color rgb="FF000000"/>
      <name val="Aptos"/>
    </font>
    <font>
      <b/>
      <sz val="9.5"/>
      <color rgb="FF666666"/>
      <name val="Aptos"/>
    </font>
    <font>
      <sz val="9.5"/>
      <color rgb="FF000000"/>
      <name val="Aptos"/>
    </font>
    <font>
      <sz val="9.5"/>
      <color rgb="FF666666"/>
      <name val="Aptos"/>
    </font>
    <font>
      <sz val="10"/>
      <color rgb="FF666666"/>
      <name val="Aptos"/>
    </font>
    <font>
      <i/>
      <sz val="9"/>
      <color rgb="FF666666"/>
      <name val="Aptos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5FA"/>
      </patternFill>
    </fill>
    <fill>
      <patternFill patternType="solid">
        <fgColor rgb="FF0F6B78"/>
      </patternFill>
    </fill>
    <fill>
      <patternFill patternType="solid">
        <fgColor rgb="FFFAFCFD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 style="medium">
        <color rgb="FF1F4E78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5" borderId="0" xfId="0" applyFont="1" applyFill="1" applyAlignment="1">
      <alignment vertical="center"/>
    </xf>
    <xf numFmtId="0" fontId="4" fillId="6" borderId="0" xfId="0" applyFont="1" applyFill="1" applyAlignment="1">
      <alignment vertical="center" wrapText="1"/>
    </xf>
    <xf numFmtId="164" fontId="5" fillId="7" borderId="0" xfId="0" applyNumberFormat="1" applyFont="1" applyFill="1" applyAlignment="1">
      <alignment vertical="center"/>
    </xf>
    <xf numFmtId="165" fontId="6" fillId="7" borderId="0" xfId="0" applyNumberFormat="1" applyFont="1" applyFill="1" applyAlignment="1">
      <alignment vertical="center"/>
    </xf>
    <xf numFmtId="166" fontId="6" fillId="7" borderId="0" xfId="0" applyNumberFormat="1" applyFont="1" applyFill="1" applyAlignment="1">
      <alignment vertical="center"/>
    </xf>
    <xf numFmtId="167" fontId="6" fillId="7" borderId="0" xfId="0" applyNumberFormat="1" applyFont="1" applyFill="1" applyAlignment="1">
      <alignment vertical="center"/>
    </xf>
    <xf numFmtId="0" fontId="7" fillId="8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/>
    </xf>
    <xf numFmtId="168" fontId="9" fillId="4" borderId="0" xfId="0" applyNumberFormat="1" applyFont="1" applyFill="1" applyAlignment="1">
      <alignment horizontal="right" vertical="center"/>
    </xf>
    <xf numFmtId="169" fontId="9" fillId="4" borderId="0" xfId="0" applyNumberFormat="1" applyFont="1" applyFill="1" applyAlignment="1">
      <alignment horizontal="right" vertical="center"/>
    </xf>
    <xf numFmtId="0" fontId="8" fillId="9" borderId="0" xfId="0" applyFont="1" applyFill="1" applyAlignment="1">
      <alignment horizontal="left" vertical="center"/>
    </xf>
    <xf numFmtId="168" fontId="9" fillId="9" borderId="0" xfId="0" applyNumberFormat="1" applyFont="1" applyFill="1" applyAlignment="1">
      <alignment horizontal="right" vertical="center"/>
    </xf>
    <xf numFmtId="169" fontId="9" fillId="9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horizontal="left"/>
    </xf>
    <xf numFmtId="168" fontId="9" fillId="4" borderId="0" xfId="0" applyNumberFormat="1" applyFont="1" applyFill="1" applyAlignment="1">
      <alignment horizontal="right"/>
    </xf>
    <xf numFmtId="0" fontId="8" fillId="9" borderId="0" xfId="0" applyFont="1" applyFill="1" applyAlignment="1">
      <alignment horizontal="left"/>
    </xf>
    <xf numFmtId="168" fontId="9" fillId="9" borderId="0" xfId="0" applyNumberFormat="1" applyFont="1" applyFill="1" applyAlignment="1">
      <alignment horizontal="right"/>
    </xf>
    <xf numFmtId="0" fontId="10" fillId="4" borderId="0" xfId="0" applyFont="1" applyFill="1" applyAlignment="1">
      <alignment horizontal="left" vertical="center" wrapText="1"/>
    </xf>
    <xf numFmtId="2" fontId="11" fillId="4" borderId="0" xfId="0" applyNumberFormat="1" applyFont="1" applyFill="1" applyAlignment="1">
      <alignment horizontal="right" vertical="center" wrapText="1"/>
    </xf>
    <xf numFmtId="0" fontId="10" fillId="9" borderId="0" xfId="0" applyFont="1" applyFill="1" applyAlignment="1">
      <alignment horizontal="left" vertical="center" wrapText="1"/>
    </xf>
    <xf numFmtId="2" fontId="11" fillId="9" borderId="0" xfId="0" applyNumberFormat="1" applyFont="1" applyFill="1" applyAlignment="1">
      <alignment horizontal="right" vertical="center" wrapText="1"/>
    </xf>
    <xf numFmtId="0" fontId="14" fillId="7" borderId="0" xfId="0" applyFont="1" applyFill="1" applyAlignment="1">
      <alignment vertical="top" wrapText="1"/>
    </xf>
    <xf numFmtId="0" fontId="1" fillId="3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left"/>
    </xf>
    <xf numFmtId="0" fontId="3" fillId="5" borderId="0" xfId="0" applyFont="1" applyFill="1" applyAlignment="1">
      <alignment horizontal="center" vertical="center"/>
    </xf>
    <xf numFmtId="0" fontId="12" fillId="4" borderId="2" xfId="0" applyFont="1" applyFill="1" applyBorder="1" applyAlignment="1">
      <alignment horizontal="left" vertical="center" wrapText="1"/>
    </xf>
    <xf numFmtId="0" fontId="12" fillId="9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0CC0-F6A1-4E60-83A4-8FF7EAB3A3FA}">
  <dimension ref="B2:I35"/>
  <sheetViews>
    <sheetView tabSelected="1" topLeftCell="A6" workbookViewId="0">
      <selection activeCell="E10" sqref="E10"/>
    </sheetView>
  </sheetViews>
  <sheetFormatPr defaultRowHeight="15" x14ac:dyDescent="0.25"/>
  <cols>
    <col min="2" max="2" width="16.140625" bestFit="1" customWidth="1"/>
    <col min="3" max="6" width="19" bestFit="1" customWidth="1"/>
    <col min="7" max="7" width="11.140625" bestFit="1" customWidth="1"/>
    <col min="8" max="8" width="17.7109375" bestFit="1" customWidth="1"/>
    <col min="9" max="9" width="16.85546875" bestFit="1" customWidth="1"/>
    <col min="10" max="10" width="18" customWidth="1"/>
  </cols>
  <sheetData>
    <row r="2" spans="2:9" ht="28.5" x14ac:dyDescent="0.25">
      <c r="B2" s="23" t="s">
        <v>0</v>
      </c>
      <c r="C2" s="23"/>
      <c r="D2" s="23"/>
      <c r="E2" s="23"/>
      <c r="F2" s="23"/>
      <c r="G2" s="23"/>
      <c r="H2" s="23"/>
      <c r="I2" s="23"/>
    </row>
    <row r="3" spans="2:9" x14ac:dyDescent="0.25">
      <c r="B3" s="25" t="s">
        <v>1</v>
      </c>
      <c r="C3" s="25"/>
      <c r="D3" s="25"/>
      <c r="E3" s="25"/>
      <c r="F3" s="25"/>
      <c r="G3" s="25"/>
      <c r="H3" s="25"/>
      <c r="I3" s="25"/>
    </row>
    <row r="5" spans="2:9" x14ac:dyDescent="0.25">
      <c r="B5" s="1" t="s">
        <v>2</v>
      </c>
    </row>
    <row r="6" spans="2:9" ht="24" x14ac:dyDescent="0.25">
      <c r="B6" s="2" t="s">
        <v>3</v>
      </c>
      <c r="C6" s="2" t="s">
        <v>4</v>
      </c>
      <c r="D6" s="2" t="s">
        <v>5</v>
      </c>
      <c r="E6" s="2" t="s">
        <v>39</v>
      </c>
      <c r="F6" s="2" t="s">
        <v>40</v>
      </c>
    </row>
    <row r="7" spans="2:9" ht="24" x14ac:dyDescent="0.25">
      <c r="B7" s="3">
        <v>500</v>
      </c>
      <c r="C7" s="4">
        <f>AVERAGE(C14:C16)</f>
        <v>546.53333333333342</v>
      </c>
      <c r="D7" s="4">
        <f>AVERAGE(D14:D16)</f>
        <v>539.66666666666674</v>
      </c>
      <c r="E7" s="4">
        <f t="shared" ref="E7:F7" si="0">AVERAGE(E14:E16)</f>
        <v>443.93333333333334</v>
      </c>
      <c r="F7" s="4">
        <f t="shared" si="0"/>
        <v>482.63333333333338</v>
      </c>
    </row>
    <row r="9" spans="2:9" ht="36" x14ac:dyDescent="0.25">
      <c r="B9" s="2" t="s">
        <v>41</v>
      </c>
      <c r="C9" s="2" t="s">
        <v>42</v>
      </c>
      <c r="D9" s="2" t="s">
        <v>6</v>
      </c>
      <c r="E9" s="2" t="s">
        <v>7</v>
      </c>
      <c r="F9" s="2" t="s">
        <v>8</v>
      </c>
    </row>
    <row r="10" spans="2:9" ht="24" x14ac:dyDescent="0.25">
      <c r="B10" s="5">
        <f t="shared" ref="B10:C10" si="1">AVERAGE(E20:E22)</f>
        <v>44.566666666666663</v>
      </c>
      <c r="C10" s="5">
        <f t="shared" si="1"/>
        <v>66.499999999999986</v>
      </c>
      <c r="D10" s="5">
        <f>AVERAGE(G20:G22)</f>
        <v>7.9000000000000012</v>
      </c>
      <c r="E10" s="5">
        <f>AVERAGE(H20:H22)</f>
        <v>197.6</v>
      </c>
      <c r="F10" s="6">
        <f>AVERAGE(E26:E28)</f>
        <v>44.123333333333335</v>
      </c>
    </row>
    <row r="12" spans="2:9" x14ac:dyDescent="0.25">
      <c r="B12" s="26" t="s">
        <v>9</v>
      </c>
      <c r="C12" s="26"/>
      <c r="D12" s="26"/>
    </row>
    <row r="13" spans="2:9" ht="24.75" thickBot="1" x14ac:dyDescent="0.3">
      <c r="B13" s="7" t="s">
        <v>10</v>
      </c>
      <c r="C13" s="7" t="s">
        <v>11</v>
      </c>
      <c r="D13" s="7" t="s">
        <v>12</v>
      </c>
      <c r="E13" s="7" t="s">
        <v>13</v>
      </c>
      <c r="F13" s="7" t="s">
        <v>14</v>
      </c>
      <c r="G13" s="7" t="s">
        <v>15</v>
      </c>
      <c r="H13" s="7" t="s">
        <v>16</v>
      </c>
    </row>
    <row r="14" spans="2:9" x14ac:dyDescent="0.25">
      <c r="B14" s="8" t="s">
        <v>17</v>
      </c>
      <c r="C14" s="9">
        <v>544.29999999999995</v>
      </c>
      <c r="D14" s="9">
        <v>537.1</v>
      </c>
      <c r="E14" s="9">
        <v>535.9</v>
      </c>
      <c r="F14" s="9">
        <v>534.6</v>
      </c>
      <c r="G14" s="10">
        <f t="shared" ref="G14:H16" si="2">E14/C14</f>
        <v>0.98456733419070375</v>
      </c>
      <c r="H14" s="10">
        <f t="shared" si="2"/>
        <v>0.99534537330106121</v>
      </c>
    </row>
    <row r="15" spans="2:9" x14ac:dyDescent="0.25">
      <c r="B15" s="11" t="s">
        <v>18</v>
      </c>
      <c r="C15" s="12">
        <v>546.6</v>
      </c>
      <c r="D15" s="12">
        <v>538.20000000000005</v>
      </c>
      <c r="E15" s="12">
        <v>465.5</v>
      </c>
      <c r="F15" s="12">
        <v>488.1</v>
      </c>
      <c r="G15" s="13">
        <f t="shared" si="2"/>
        <v>0.85162824734723741</v>
      </c>
      <c r="H15" s="13">
        <f t="shared" si="2"/>
        <v>0.90691192865105907</v>
      </c>
    </row>
    <row r="16" spans="2:9" x14ac:dyDescent="0.25">
      <c r="B16" s="8" t="s">
        <v>19</v>
      </c>
      <c r="C16" s="9">
        <v>548.70000000000005</v>
      </c>
      <c r="D16" s="9">
        <v>543.70000000000005</v>
      </c>
      <c r="E16" s="9">
        <v>330.4</v>
      </c>
      <c r="F16" s="9">
        <v>425.2</v>
      </c>
      <c r="G16" s="10">
        <f t="shared" si="2"/>
        <v>0.60215053763440851</v>
      </c>
      <c r="H16" s="10">
        <f>F16/D16</f>
        <v>0.78204892403899195</v>
      </c>
    </row>
    <row r="18" spans="2:9" x14ac:dyDescent="0.25">
      <c r="B18" s="26" t="s">
        <v>20</v>
      </c>
      <c r="C18" s="26"/>
      <c r="D18" s="26"/>
    </row>
    <row r="19" spans="2:9" ht="24.75" thickBot="1" x14ac:dyDescent="0.3">
      <c r="B19" s="7" t="s">
        <v>10</v>
      </c>
      <c r="C19" s="7" t="s">
        <v>21</v>
      </c>
      <c r="D19" s="7" t="s">
        <v>22</v>
      </c>
      <c r="E19" s="7" t="s">
        <v>23</v>
      </c>
      <c r="F19" s="7" t="s">
        <v>24</v>
      </c>
      <c r="G19" s="7" t="s">
        <v>25</v>
      </c>
      <c r="H19" s="7" t="s">
        <v>26</v>
      </c>
    </row>
    <row r="20" spans="2:9" x14ac:dyDescent="0.25">
      <c r="B20" s="14" t="s">
        <v>17</v>
      </c>
      <c r="C20" s="15">
        <v>10</v>
      </c>
      <c r="D20" s="15">
        <v>11.4</v>
      </c>
      <c r="E20" s="15">
        <v>42.5</v>
      </c>
      <c r="F20" s="15">
        <v>69.8</v>
      </c>
      <c r="G20" s="15">
        <v>7.9</v>
      </c>
      <c r="H20" s="15">
        <v>188.3</v>
      </c>
    </row>
    <row r="21" spans="2:9" x14ac:dyDescent="0.25">
      <c r="B21" s="16" t="s">
        <v>18</v>
      </c>
      <c r="C21" s="17">
        <v>9.8000000000000007</v>
      </c>
      <c r="D21" s="17">
        <v>11.3</v>
      </c>
      <c r="E21" s="17">
        <v>43.9</v>
      </c>
      <c r="F21" s="17">
        <v>67.599999999999994</v>
      </c>
      <c r="G21" s="17">
        <v>7.9</v>
      </c>
      <c r="H21" s="17">
        <v>202.5</v>
      </c>
    </row>
    <row r="22" spans="2:9" x14ac:dyDescent="0.25">
      <c r="B22" s="14" t="s">
        <v>19</v>
      </c>
      <c r="C22" s="15">
        <v>9.6999999999999993</v>
      </c>
      <c r="D22" s="15">
        <v>10.7</v>
      </c>
      <c r="E22" s="15">
        <v>47.3</v>
      </c>
      <c r="F22" s="15">
        <v>62.1</v>
      </c>
      <c r="G22" s="15">
        <v>7.9</v>
      </c>
      <c r="H22" s="15">
        <v>202</v>
      </c>
    </row>
    <row r="24" spans="2:9" x14ac:dyDescent="0.25">
      <c r="B24" s="26" t="s">
        <v>27</v>
      </c>
      <c r="C24" s="26"/>
      <c r="D24" s="26"/>
      <c r="E24" s="26"/>
      <c r="F24" s="26"/>
    </row>
    <row r="25" spans="2:9" ht="24.75" thickBot="1" x14ac:dyDescent="0.3">
      <c r="B25" s="7" t="s">
        <v>10</v>
      </c>
      <c r="C25" s="7" t="s">
        <v>28</v>
      </c>
      <c r="D25" s="7" t="s">
        <v>29</v>
      </c>
      <c r="E25" s="7" t="s">
        <v>30</v>
      </c>
      <c r="F25" s="7" t="s">
        <v>31</v>
      </c>
      <c r="G25" s="7"/>
      <c r="H25" s="7"/>
    </row>
    <row r="26" spans="2:9" ht="29.25" customHeight="1" x14ac:dyDescent="0.25">
      <c r="B26" s="18" t="s">
        <v>17</v>
      </c>
      <c r="C26" s="19">
        <v>17.07</v>
      </c>
      <c r="D26" s="19">
        <v>6.95</v>
      </c>
      <c r="E26" s="19">
        <v>44.02</v>
      </c>
      <c r="F26" s="27" t="s">
        <v>32</v>
      </c>
      <c r="G26" s="27"/>
      <c r="H26" s="27"/>
    </row>
    <row r="27" spans="2:9" ht="30" customHeight="1" x14ac:dyDescent="0.25">
      <c r="B27" s="20" t="s">
        <v>18</v>
      </c>
      <c r="C27" s="21">
        <v>28.73</v>
      </c>
      <c r="D27" s="21">
        <v>53.05</v>
      </c>
      <c r="E27" s="21">
        <v>43.8</v>
      </c>
      <c r="F27" s="28" t="s">
        <v>33</v>
      </c>
      <c r="G27" s="28"/>
      <c r="H27" s="28"/>
    </row>
    <row r="28" spans="2:9" ht="28.5" customHeight="1" x14ac:dyDescent="0.25">
      <c r="B28" s="18" t="s">
        <v>19</v>
      </c>
      <c r="C28" s="19">
        <v>15.25</v>
      </c>
      <c r="D28" s="19">
        <v>79.599999999999994</v>
      </c>
      <c r="E28" s="19">
        <v>44.55</v>
      </c>
      <c r="F28" s="29" t="s">
        <v>34</v>
      </c>
      <c r="G28" s="29"/>
      <c r="H28" s="29"/>
    </row>
    <row r="30" spans="2:9" x14ac:dyDescent="0.25">
      <c r="B30" s="1" t="s">
        <v>35</v>
      </c>
    </row>
    <row r="31" spans="2:9" ht="84" x14ac:dyDescent="0.25">
      <c r="B31" s="24" t="s">
        <v>36</v>
      </c>
      <c r="C31" s="24"/>
      <c r="D31" s="24"/>
      <c r="E31" s="24"/>
      <c r="F31" s="24"/>
      <c r="I31" s="22" t="s">
        <v>37</v>
      </c>
    </row>
    <row r="35" spans="4:4" x14ac:dyDescent="0.25">
      <c r="D35" t="s">
        <v>38</v>
      </c>
    </row>
  </sheetData>
  <mergeCells count="9">
    <mergeCell ref="B2:I2"/>
    <mergeCell ref="B31:F31"/>
    <mergeCell ref="B3:I3"/>
    <mergeCell ref="B24:F24"/>
    <mergeCell ref="B18:D18"/>
    <mergeCell ref="B12:D12"/>
    <mergeCell ref="F26:H26"/>
    <mergeCell ref="F27:H27"/>
    <mergeCell ref="F28:H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99a9a9-f99e-4d64-82ae-ae27da646d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0116236E4F90469505D90DA671B2B6" ma:contentTypeVersion="6" ma:contentTypeDescription="Create a new document." ma:contentTypeScope="" ma:versionID="783b2b72a08c311d7acc05b1e3289fc3">
  <xsd:schema xmlns:xsd="http://www.w3.org/2001/XMLSchema" xmlns:xs="http://www.w3.org/2001/XMLSchema" xmlns:p="http://schemas.microsoft.com/office/2006/metadata/properties" xmlns:ns3="a399a9a9-f99e-4d64-82ae-ae27da646dd5" targetNamespace="http://schemas.microsoft.com/office/2006/metadata/properties" ma:root="true" ma:fieldsID="6e98e74b85d292d11d226c637786dca7" ns3:_="">
    <xsd:import namespace="a399a9a9-f99e-4d64-82ae-ae27da646dd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99a9a9-f99e-4d64-82ae-ae27da646dd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DA8623-DB74-4B6C-A622-FDF9621C1072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399a9a9-f99e-4d64-82ae-ae27da646dd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A7C34EB-5DE2-498F-95DB-E1E333CA0D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959D08-9A11-4188-BCF3-27858AF614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99a9a9-f99e-4d64-82ae-ae27da646d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Urias</dc:creator>
  <cp:lastModifiedBy>Devin Urias</cp:lastModifiedBy>
  <dcterms:created xsi:type="dcterms:W3CDTF">2026-08-23T22:48:57Z</dcterms:created>
  <dcterms:modified xsi:type="dcterms:W3CDTF">2026-08-23T23:12:50Z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0x010100180116236E4F90469505D90DA671B2B6</vt:lpwstr>
  </property>
</Properties>
</file>