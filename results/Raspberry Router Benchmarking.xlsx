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n\Documents\"/>
    </mc:Choice>
  </mc:AlternateContent>
  <xr:revisionPtr revIDLastSave="0" documentId="8_{E51878CE-A948-40F7-9918-0DABB30D06D4}" xr6:coauthVersionLast="47" xr6:coauthVersionMax="47" xr10:uidLastSave="{00000000-0000-0000-0000-000000000000}"/>
  <bookViews>
    <workbookView xWindow="-120" yWindow="-120" windowWidth="29040" windowHeight="15720" xr2:uid="{E45A9052-65D3-47A3-AF47-CEBC4850A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9" i="1" l="1"/>
  <c r="S19" i="1"/>
  <c r="T19" i="1"/>
  <c r="U19" i="1"/>
  <c r="R36" i="1"/>
  <c r="S36" i="1"/>
  <c r="T36" i="1"/>
  <c r="U36" i="1"/>
  <c r="R70" i="1"/>
  <c r="S70" i="1"/>
  <c r="T70" i="1"/>
  <c r="U70" i="1"/>
  <c r="R87" i="1"/>
  <c r="S87" i="1"/>
  <c r="T87" i="1"/>
  <c r="U87" i="1"/>
  <c r="R104" i="1"/>
  <c r="S104" i="1"/>
  <c r="T104" i="1"/>
  <c r="U104" i="1"/>
  <c r="R53" i="1"/>
  <c r="S53" i="1"/>
  <c r="T53" i="1"/>
  <c r="U53" i="1"/>
  <c r="P53" i="1"/>
  <c r="P36" i="1"/>
  <c r="P19" i="1"/>
  <c r="Q53" i="1"/>
  <c r="Q19" i="1"/>
  <c r="Q36" i="1"/>
  <c r="Q104" i="1"/>
  <c r="Q70" i="1"/>
  <c r="Q87" i="1"/>
  <c r="O70" i="1"/>
  <c r="N70" i="1"/>
  <c r="M70" i="1"/>
  <c r="L70" i="1"/>
  <c r="K70" i="1"/>
  <c r="H70" i="1"/>
  <c r="G70" i="1"/>
  <c r="F70" i="1"/>
  <c r="E70" i="1"/>
  <c r="D70" i="1"/>
  <c r="O19" i="1"/>
  <c r="N19" i="1"/>
  <c r="M19" i="1"/>
  <c r="L19" i="1"/>
  <c r="K19" i="1"/>
  <c r="I19" i="1"/>
  <c r="H19" i="1"/>
  <c r="G19" i="1"/>
  <c r="F19" i="1"/>
  <c r="E19" i="1"/>
  <c r="D19" i="1"/>
  <c r="O36" i="1"/>
  <c r="N36" i="1"/>
  <c r="M36" i="1"/>
  <c r="L36" i="1"/>
  <c r="K36" i="1"/>
  <c r="I36" i="1"/>
  <c r="H36" i="1"/>
  <c r="G36" i="1"/>
  <c r="F36" i="1"/>
  <c r="E36" i="1"/>
  <c r="D36" i="1"/>
  <c r="D53" i="1"/>
  <c r="E53" i="1"/>
  <c r="F53" i="1"/>
  <c r="G53" i="1"/>
  <c r="H53" i="1"/>
  <c r="I53" i="1"/>
  <c r="K53" i="1"/>
  <c r="L53" i="1"/>
  <c r="M53" i="1"/>
  <c r="N53" i="1"/>
  <c r="O53" i="1"/>
  <c r="O104" i="1"/>
  <c r="N104" i="1"/>
  <c r="M104" i="1"/>
  <c r="L104" i="1"/>
  <c r="K104" i="1"/>
  <c r="H104" i="1"/>
  <c r="G104" i="1"/>
  <c r="F104" i="1"/>
  <c r="E104" i="1"/>
  <c r="D104" i="1"/>
  <c r="O87" i="1"/>
  <c r="N87" i="1"/>
  <c r="M87" i="1"/>
  <c r="L87" i="1"/>
  <c r="K87" i="1"/>
  <c r="H87" i="1"/>
  <c r="G87" i="1"/>
  <c r="F87" i="1"/>
  <c r="E87" i="1"/>
  <c r="D87" i="1"/>
</calcChain>
</file>

<file path=xl/sharedStrings.xml><?xml version="1.0" encoding="utf-8"?>
<sst xmlns="http://schemas.openxmlformats.org/spreadsheetml/2006/main" count="192" uniqueCount="23">
  <si>
    <t>Download</t>
  </si>
  <si>
    <t>Upload</t>
  </si>
  <si>
    <t>Idle Latency</t>
  </si>
  <si>
    <t>Download Latency</t>
  </si>
  <si>
    <t>Upload Latency</t>
  </si>
  <si>
    <t>Temperature</t>
  </si>
  <si>
    <t>Wired</t>
  </si>
  <si>
    <t>Raspberry Pi</t>
  </si>
  <si>
    <t>Spectrum Router</t>
  </si>
  <si>
    <t>WIRED</t>
  </si>
  <si>
    <t>WIRELESS</t>
  </si>
  <si>
    <t>IDEAL</t>
  </si>
  <si>
    <t>IDEAL Averages</t>
  </si>
  <si>
    <t>Wired Averages</t>
  </si>
  <si>
    <t>SD of Download</t>
  </si>
  <si>
    <t>SD of Upload</t>
  </si>
  <si>
    <t>SD of Idle Latency</t>
  </si>
  <si>
    <t>SD of Download Latency</t>
  </si>
  <si>
    <t>SD of Upload Latency</t>
  </si>
  <si>
    <t>LIVING ROOM</t>
  </si>
  <si>
    <t>LIVING ROOM Averages</t>
  </si>
  <si>
    <t>BEDROOM</t>
  </si>
  <si>
    <t>BEDROOM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</si>
</sst>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12C9-CA2B-4A13-B72A-865C4FDECB36}">
  <dimension ref="C2:U104"/>
  <sheetViews>
    <sheetView tabSelected="1" topLeftCell="B1" workbookViewId="0">
      <selection activeCell="D2" sqref="D2:I3"/>
    </sheetView>
  </sheetViews>
  <sheetFormatPr defaultRowHeight="15" x14ac:dyDescent="0.25"/>
  <cols>
    <col min="2" max="3" width="15.5703125" bestFit="1" customWidth="1"/>
    <col min="4" max="4" width="14.5703125" bestFit="1" customWidth="1"/>
    <col min="5" max="5" width="7.42578125" bestFit="1" customWidth="1"/>
    <col min="6" max="6" width="11.28515625" bestFit="1" customWidth="1"/>
    <col min="7" max="7" width="17.28515625" bestFit="1" customWidth="1"/>
    <col min="8" max="8" width="14.5703125" bestFit="1" customWidth="1"/>
    <col min="9" max="9" width="12.140625" bestFit="1" customWidth="1"/>
    <col min="10" max="10" width="9.42578125" customWidth="1"/>
    <col min="11" max="11" width="21.5703125" bestFit="1" customWidth="1"/>
    <col min="12" max="12" width="7.42578125" bestFit="1" customWidth="1"/>
    <col min="13" max="13" width="11.28515625" bestFit="1" customWidth="1"/>
    <col min="14" max="14" width="17.28515625" bestFit="1" customWidth="1"/>
    <col min="15" max="15" width="14.5703125" bestFit="1" customWidth="1"/>
    <col min="16" max="16" width="12.140625" bestFit="1" customWidth="1"/>
    <col min="17" max="17" width="15" bestFit="1" customWidth="1"/>
    <col min="18" max="18" width="12.28515625" bestFit="1" customWidth="1"/>
    <col min="19" max="19" width="16.28515625" bestFit="1" customWidth="1"/>
    <col min="20" max="20" width="22.28515625" bestFit="1" customWidth="1"/>
    <col min="21" max="21" width="19.5703125" bestFit="1" customWidth="1"/>
  </cols>
  <sheetData>
    <row r="2" spans="3:16" x14ac:dyDescent="0.25">
      <c r="D2" s="11" t="s">
        <v>9</v>
      </c>
      <c r="E2" s="11"/>
      <c r="F2" s="11"/>
      <c r="G2" s="11"/>
      <c r="H2" s="11"/>
      <c r="I2" s="11"/>
      <c r="K2" s="11" t="s">
        <v>10</v>
      </c>
      <c r="L2" s="11"/>
      <c r="M2" s="11"/>
      <c r="N2" s="11"/>
      <c r="O2" s="11"/>
      <c r="P2" s="11"/>
    </row>
    <row r="3" spans="3:16" x14ac:dyDescent="0.25">
      <c r="D3" s="11"/>
      <c r="E3" s="11"/>
      <c r="F3" s="11"/>
      <c r="G3" s="11"/>
      <c r="H3" s="11"/>
      <c r="I3" s="11"/>
      <c r="K3" s="11"/>
      <c r="L3" s="11"/>
      <c r="M3" s="11"/>
      <c r="N3" s="11"/>
      <c r="O3" s="11"/>
      <c r="P3" s="11"/>
    </row>
    <row r="4" spans="3:16" x14ac:dyDescent="0.25">
      <c r="C4" t="s">
        <v>7</v>
      </c>
      <c r="D4" t="s">
        <v>6</v>
      </c>
      <c r="K4" t="s">
        <v>11</v>
      </c>
    </row>
    <row r="5" spans="3:16" x14ac:dyDescent="0.25">
      <c r="D5" s="2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4" t="s">
        <v>5</v>
      </c>
      <c r="K5" s="2" t="s">
        <v>0</v>
      </c>
      <c r="L5" s="3" t="s">
        <v>1</v>
      </c>
      <c r="M5" s="3" t="s">
        <v>2</v>
      </c>
      <c r="N5" s="3" t="s">
        <v>3</v>
      </c>
      <c r="O5" s="4" t="s">
        <v>4</v>
      </c>
      <c r="P5" s="4" t="s">
        <v>5</v>
      </c>
    </row>
    <row r="6" spans="3:16" x14ac:dyDescent="0.25">
      <c r="D6" s="5">
        <v>547.73</v>
      </c>
      <c r="E6" s="6">
        <v>23.33</v>
      </c>
      <c r="F6" s="6">
        <v>10</v>
      </c>
      <c r="G6" s="6">
        <v>42</v>
      </c>
      <c r="H6" s="6">
        <v>8</v>
      </c>
      <c r="I6" s="7">
        <v>41.8</v>
      </c>
      <c r="K6" s="5">
        <v>550.46</v>
      </c>
      <c r="L6" s="6">
        <v>23.46</v>
      </c>
      <c r="M6" s="6">
        <v>24</v>
      </c>
      <c r="N6" s="6">
        <v>58</v>
      </c>
      <c r="O6" s="7">
        <v>205</v>
      </c>
      <c r="P6" s="7">
        <v>41.8</v>
      </c>
    </row>
    <row r="7" spans="3:16" x14ac:dyDescent="0.25">
      <c r="D7" s="5">
        <v>550.28</v>
      </c>
      <c r="E7" s="6">
        <v>23.28</v>
      </c>
      <c r="F7" s="6">
        <v>10</v>
      </c>
      <c r="G7" s="6">
        <v>44</v>
      </c>
      <c r="H7" s="6">
        <v>8</v>
      </c>
      <c r="I7" s="7">
        <v>42.3</v>
      </c>
      <c r="K7" s="5">
        <v>555.78</v>
      </c>
      <c r="L7" s="6">
        <v>23.39</v>
      </c>
      <c r="M7" s="6">
        <v>22</v>
      </c>
      <c r="N7" s="6">
        <v>61</v>
      </c>
      <c r="O7" s="7">
        <v>218</v>
      </c>
      <c r="P7" s="7">
        <v>42.3</v>
      </c>
    </row>
    <row r="8" spans="3:16" x14ac:dyDescent="0.25">
      <c r="D8" s="5">
        <v>546.71</v>
      </c>
      <c r="E8" s="6">
        <v>23.3</v>
      </c>
      <c r="F8" s="6">
        <v>9</v>
      </c>
      <c r="G8" s="6">
        <v>52</v>
      </c>
      <c r="H8" s="6">
        <v>8</v>
      </c>
      <c r="I8" s="7">
        <v>42.3</v>
      </c>
      <c r="K8" s="5">
        <v>532.73</v>
      </c>
      <c r="L8" s="6">
        <v>23.46</v>
      </c>
      <c r="M8" s="6">
        <v>15</v>
      </c>
      <c r="N8" s="6">
        <v>62</v>
      </c>
      <c r="O8" s="7">
        <v>208</v>
      </c>
      <c r="P8" s="7">
        <v>42.8</v>
      </c>
    </row>
    <row r="9" spans="3:16" x14ac:dyDescent="0.25">
      <c r="D9" s="5">
        <v>529.75</v>
      </c>
      <c r="E9" s="6">
        <v>23.3</v>
      </c>
      <c r="F9" s="6">
        <v>10</v>
      </c>
      <c r="G9" s="6">
        <v>39</v>
      </c>
      <c r="H9" s="6">
        <v>7</v>
      </c>
      <c r="I9" s="7">
        <v>43.8</v>
      </c>
      <c r="K9" s="5">
        <v>529.30999999999995</v>
      </c>
      <c r="L9" s="6">
        <v>23.7</v>
      </c>
      <c r="M9" s="6">
        <v>27</v>
      </c>
      <c r="N9" s="6">
        <v>69</v>
      </c>
      <c r="O9" s="7">
        <v>211</v>
      </c>
      <c r="P9" s="7">
        <v>43.3</v>
      </c>
    </row>
    <row r="10" spans="3:16" x14ac:dyDescent="0.25">
      <c r="D10" s="5">
        <v>547.27</v>
      </c>
      <c r="E10" s="6">
        <v>23.25</v>
      </c>
      <c r="F10" s="6">
        <v>10</v>
      </c>
      <c r="G10" s="6">
        <v>32</v>
      </c>
      <c r="H10" s="6">
        <v>8</v>
      </c>
      <c r="I10" s="7">
        <v>44.3</v>
      </c>
      <c r="K10" s="5">
        <v>516.01</v>
      </c>
      <c r="L10" s="6">
        <v>23.43</v>
      </c>
      <c r="M10" s="6">
        <v>29</v>
      </c>
      <c r="N10" s="6">
        <v>72</v>
      </c>
      <c r="O10" s="7">
        <v>207</v>
      </c>
      <c r="P10" s="7">
        <v>43.3</v>
      </c>
    </row>
    <row r="11" spans="3:16" x14ac:dyDescent="0.25">
      <c r="D11" s="5">
        <v>535.29999999999995</v>
      </c>
      <c r="E11" s="6">
        <v>23.27</v>
      </c>
      <c r="F11" s="6">
        <v>10</v>
      </c>
      <c r="G11" s="6">
        <v>43</v>
      </c>
      <c r="H11" s="6">
        <v>8</v>
      </c>
      <c r="I11" s="7">
        <v>44.8</v>
      </c>
      <c r="K11" s="5">
        <v>503.55</v>
      </c>
      <c r="L11" s="6">
        <v>23.23</v>
      </c>
      <c r="M11" s="6">
        <v>28</v>
      </c>
      <c r="N11" s="6">
        <v>86</v>
      </c>
      <c r="O11" s="7">
        <v>197</v>
      </c>
      <c r="P11" s="7">
        <v>42.8</v>
      </c>
    </row>
    <row r="12" spans="3:16" x14ac:dyDescent="0.25">
      <c r="D12" s="5">
        <v>550.85</v>
      </c>
      <c r="E12" s="6">
        <v>23.46</v>
      </c>
      <c r="F12" s="6">
        <v>11</v>
      </c>
      <c r="G12" s="6">
        <v>37</v>
      </c>
      <c r="H12" s="6">
        <v>8</v>
      </c>
      <c r="I12" s="7">
        <v>44.8</v>
      </c>
      <c r="K12" s="5">
        <v>558.4</v>
      </c>
      <c r="L12" s="6">
        <v>23.1</v>
      </c>
      <c r="M12" s="6">
        <v>30</v>
      </c>
      <c r="N12" s="6">
        <v>61</v>
      </c>
      <c r="O12" s="7">
        <v>197</v>
      </c>
      <c r="P12" s="7">
        <v>43.3</v>
      </c>
    </row>
    <row r="13" spans="3:16" x14ac:dyDescent="0.25">
      <c r="D13" s="5">
        <v>540.41</v>
      </c>
      <c r="E13" s="6">
        <v>23.3</v>
      </c>
      <c r="F13" s="6">
        <v>10</v>
      </c>
      <c r="G13" s="6">
        <v>37</v>
      </c>
      <c r="H13" s="6">
        <v>8</v>
      </c>
      <c r="I13" s="7">
        <v>45.2</v>
      </c>
      <c r="K13" s="5">
        <v>538.48</v>
      </c>
      <c r="L13" s="6">
        <v>23.46</v>
      </c>
      <c r="M13" s="6">
        <v>37</v>
      </c>
      <c r="N13" s="6">
        <v>66</v>
      </c>
      <c r="O13" s="7">
        <v>207</v>
      </c>
      <c r="P13" s="7">
        <v>43.3</v>
      </c>
    </row>
    <row r="14" spans="3:16" x14ac:dyDescent="0.25">
      <c r="D14" s="5">
        <v>545.05999999999995</v>
      </c>
      <c r="E14" s="6">
        <v>23.29</v>
      </c>
      <c r="F14" s="6">
        <v>10</v>
      </c>
      <c r="G14" s="6">
        <v>49</v>
      </c>
      <c r="H14" s="6">
        <v>8</v>
      </c>
      <c r="I14" s="7">
        <v>45.7</v>
      </c>
      <c r="K14" s="5">
        <v>538.36</v>
      </c>
      <c r="L14" s="6">
        <v>23.44</v>
      </c>
      <c r="M14" s="6">
        <v>34</v>
      </c>
      <c r="N14" s="6">
        <v>73</v>
      </c>
      <c r="O14" s="7">
        <v>204</v>
      </c>
      <c r="P14" s="7">
        <v>43.3</v>
      </c>
    </row>
    <row r="15" spans="3:16" x14ac:dyDescent="0.25">
      <c r="D15" s="8">
        <v>549.82000000000005</v>
      </c>
      <c r="E15" s="9">
        <v>23.36</v>
      </c>
      <c r="F15" s="9">
        <v>10</v>
      </c>
      <c r="G15" s="9">
        <v>50</v>
      </c>
      <c r="H15" s="9">
        <v>8</v>
      </c>
      <c r="I15" s="10">
        <v>45.2</v>
      </c>
      <c r="K15" s="8">
        <v>536</v>
      </c>
      <c r="L15" s="9">
        <v>22.88</v>
      </c>
      <c r="M15" s="9">
        <v>31</v>
      </c>
      <c r="N15" s="9">
        <v>60</v>
      </c>
      <c r="O15" s="10">
        <v>201</v>
      </c>
      <c r="P15" s="10">
        <v>43.3</v>
      </c>
    </row>
    <row r="17" spans="3:21" x14ac:dyDescent="0.25">
      <c r="D17" t="s">
        <v>13</v>
      </c>
      <c r="K17" t="s">
        <v>12</v>
      </c>
    </row>
    <row r="18" spans="3:21" x14ac:dyDescent="0.25">
      <c r="D18" t="s">
        <v>0</v>
      </c>
      <c r="E18" t="s">
        <v>1</v>
      </c>
      <c r="F18" t="s">
        <v>2</v>
      </c>
      <c r="G18" t="s">
        <v>3</v>
      </c>
      <c r="H18" t="s">
        <v>4</v>
      </c>
      <c r="I18" t="s">
        <v>5</v>
      </c>
      <c r="K18" t="s">
        <v>0</v>
      </c>
      <c r="L18" t="s">
        <v>1</v>
      </c>
      <c r="M18" t="s">
        <v>2</v>
      </c>
      <c r="N18" t="s">
        <v>3</v>
      </c>
      <c r="O18" t="s">
        <v>4</v>
      </c>
      <c r="P18" t="s">
        <v>5</v>
      </c>
      <c r="Q18" t="s">
        <v>14</v>
      </c>
      <c r="R18" t="s">
        <v>15</v>
      </c>
      <c r="S18" t="s">
        <v>16</v>
      </c>
      <c r="T18" t="s">
        <v>17</v>
      </c>
      <c r="U18" t="s">
        <v>18</v>
      </c>
    </row>
    <row r="19" spans="3:21" x14ac:dyDescent="0.25">
      <c r="D19" s="1">
        <f t="shared" ref="D19:I19" si="0">AVERAGE(D6:D15)</f>
        <v>544.31799999999998</v>
      </c>
      <c r="E19" s="1">
        <f t="shared" si="0"/>
        <v>23.314</v>
      </c>
      <c r="F19" s="1">
        <f t="shared" si="0"/>
        <v>10</v>
      </c>
      <c r="G19" s="1">
        <f t="shared" si="0"/>
        <v>42.5</v>
      </c>
      <c r="H19" s="1">
        <f t="shared" si="0"/>
        <v>7.9</v>
      </c>
      <c r="I19" s="1">
        <f t="shared" si="0"/>
        <v>44.019999999999996</v>
      </c>
      <c r="J19" s="1"/>
      <c r="K19" s="1">
        <f t="shared" ref="K19:P19" si="1">AVERAGE(K6:K15)</f>
        <v>535.90800000000002</v>
      </c>
      <c r="L19" s="1">
        <f t="shared" si="1"/>
        <v>23.354999999999997</v>
      </c>
      <c r="M19" s="1">
        <f t="shared" si="1"/>
        <v>27.7</v>
      </c>
      <c r="N19" s="1">
        <f t="shared" si="1"/>
        <v>66.8</v>
      </c>
      <c r="O19" s="1">
        <f t="shared" si="1"/>
        <v>205.5</v>
      </c>
      <c r="P19" s="1">
        <f t="shared" si="1"/>
        <v>42.95</v>
      </c>
      <c r="Q19" s="1">
        <f>STDEVA(K6:K15)</f>
        <v>17.067796056381216</v>
      </c>
      <c r="R19" s="1">
        <f t="shared" ref="R19:U19" si="2">STDEVA(L6:L15)</f>
        <v>0.22911666121093088</v>
      </c>
      <c r="S19" s="1">
        <f t="shared" si="2"/>
        <v>6.2547759529996165</v>
      </c>
      <c r="T19" s="1">
        <f t="shared" si="2"/>
        <v>8.521867296679881</v>
      </c>
      <c r="U19" s="1">
        <f t="shared" si="2"/>
        <v>6.3639610306789276</v>
      </c>
    </row>
    <row r="21" spans="3:21" x14ac:dyDescent="0.25">
      <c r="C21" t="s">
        <v>7</v>
      </c>
      <c r="K21" t="s">
        <v>19</v>
      </c>
    </row>
    <row r="22" spans="3:21" x14ac:dyDescent="0.25">
      <c r="D22" s="2" t="s">
        <v>0</v>
      </c>
      <c r="E22" s="3" t="s">
        <v>1</v>
      </c>
      <c r="F22" s="3" t="s">
        <v>2</v>
      </c>
      <c r="G22" s="3" t="s">
        <v>3</v>
      </c>
      <c r="H22" s="3" t="s">
        <v>4</v>
      </c>
      <c r="I22" s="4" t="s">
        <v>5</v>
      </c>
      <c r="K22" s="2" t="s">
        <v>0</v>
      </c>
      <c r="L22" s="3" t="s">
        <v>1</v>
      </c>
      <c r="M22" s="3" t="s">
        <v>2</v>
      </c>
      <c r="N22" s="3" t="s">
        <v>3</v>
      </c>
      <c r="O22" s="4" t="s">
        <v>4</v>
      </c>
      <c r="P22" s="4" t="s">
        <v>5</v>
      </c>
    </row>
    <row r="23" spans="3:21" x14ac:dyDescent="0.25">
      <c r="D23" s="5">
        <v>538.72</v>
      </c>
      <c r="E23" s="6">
        <v>23.32</v>
      </c>
      <c r="F23" s="6">
        <v>10</v>
      </c>
      <c r="G23" s="6">
        <v>40</v>
      </c>
      <c r="H23" s="6">
        <v>8</v>
      </c>
      <c r="I23" s="7">
        <v>42.8</v>
      </c>
      <c r="K23" s="5">
        <v>487.76</v>
      </c>
      <c r="L23" s="6">
        <v>23</v>
      </c>
      <c r="M23" s="6">
        <v>25</v>
      </c>
      <c r="N23" s="6">
        <v>102</v>
      </c>
      <c r="O23" s="7">
        <v>174</v>
      </c>
      <c r="P23" s="7">
        <v>42.3</v>
      </c>
    </row>
    <row r="24" spans="3:21" x14ac:dyDescent="0.25">
      <c r="D24" s="5">
        <v>542.19000000000005</v>
      </c>
      <c r="E24" s="6">
        <v>23.37</v>
      </c>
      <c r="F24" s="6">
        <v>10</v>
      </c>
      <c r="G24" s="6">
        <v>41</v>
      </c>
      <c r="H24" s="6">
        <v>8</v>
      </c>
      <c r="I24" s="7">
        <v>43.3</v>
      </c>
      <c r="K24" s="5">
        <v>493.92</v>
      </c>
      <c r="L24" s="6">
        <v>23.39</v>
      </c>
      <c r="M24" s="6">
        <v>24</v>
      </c>
      <c r="N24" s="6">
        <v>77</v>
      </c>
      <c r="O24" s="7">
        <v>207</v>
      </c>
      <c r="P24" s="7">
        <v>43.3</v>
      </c>
    </row>
    <row r="25" spans="3:21" x14ac:dyDescent="0.25">
      <c r="D25" s="5">
        <v>551.70000000000005</v>
      </c>
      <c r="E25" s="6">
        <v>23.23</v>
      </c>
      <c r="F25" s="6">
        <v>11</v>
      </c>
      <c r="G25" s="6">
        <v>42</v>
      </c>
      <c r="H25" s="6">
        <v>8</v>
      </c>
      <c r="I25" s="7">
        <v>43.3</v>
      </c>
      <c r="K25" s="5">
        <v>470.9</v>
      </c>
      <c r="L25" s="6">
        <v>23.24</v>
      </c>
      <c r="M25" s="6">
        <v>16</v>
      </c>
      <c r="N25" s="6">
        <v>68</v>
      </c>
      <c r="O25" s="7">
        <v>203</v>
      </c>
      <c r="P25" s="7">
        <v>43.3</v>
      </c>
    </row>
    <row r="26" spans="3:21" x14ac:dyDescent="0.25">
      <c r="D26" s="5">
        <v>547.46</v>
      </c>
      <c r="E26" s="6">
        <v>23.4</v>
      </c>
      <c r="F26" s="6">
        <v>10</v>
      </c>
      <c r="G26" s="6">
        <v>56</v>
      </c>
      <c r="H26" s="6">
        <v>8</v>
      </c>
      <c r="I26" s="7">
        <v>43.8</v>
      </c>
      <c r="K26" s="5">
        <v>420.16</v>
      </c>
      <c r="L26" s="6">
        <v>23.17</v>
      </c>
      <c r="M26" s="6">
        <v>25</v>
      </c>
      <c r="N26" s="6">
        <v>116</v>
      </c>
      <c r="O26" s="7">
        <v>208</v>
      </c>
      <c r="P26" s="7">
        <v>42.8</v>
      </c>
    </row>
    <row r="27" spans="3:21" x14ac:dyDescent="0.25">
      <c r="D27" s="5">
        <v>540.1</v>
      </c>
      <c r="E27" s="6">
        <v>23.25</v>
      </c>
      <c r="F27" s="6">
        <v>7</v>
      </c>
      <c r="G27" s="6">
        <v>42</v>
      </c>
      <c r="H27" s="6">
        <v>8</v>
      </c>
      <c r="I27" s="7">
        <v>44.3</v>
      </c>
      <c r="K27" s="5">
        <v>485.64</v>
      </c>
      <c r="L27" s="6">
        <v>23.18</v>
      </c>
      <c r="M27" s="6">
        <v>23</v>
      </c>
      <c r="N27" s="6">
        <v>117</v>
      </c>
      <c r="O27" s="7">
        <v>222</v>
      </c>
      <c r="P27" s="7">
        <v>42.8</v>
      </c>
    </row>
    <row r="28" spans="3:21" x14ac:dyDescent="0.25">
      <c r="D28" s="5">
        <v>551.12</v>
      </c>
      <c r="E28" s="6">
        <v>23.31</v>
      </c>
      <c r="F28" s="6">
        <v>10</v>
      </c>
      <c r="G28" s="6">
        <v>36</v>
      </c>
      <c r="H28" s="6">
        <v>7</v>
      </c>
      <c r="I28" s="7">
        <v>43.8</v>
      </c>
      <c r="K28" s="5">
        <v>463.76</v>
      </c>
      <c r="L28" s="6">
        <v>22.41</v>
      </c>
      <c r="M28" s="6">
        <v>33</v>
      </c>
      <c r="N28" s="6">
        <v>90</v>
      </c>
      <c r="O28" s="7">
        <v>202</v>
      </c>
      <c r="P28" s="7">
        <v>43.8</v>
      </c>
    </row>
    <row r="29" spans="3:21" x14ac:dyDescent="0.25">
      <c r="D29" s="5">
        <v>552.98</v>
      </c>
      <c r="E29" s="6">
        <v>23.19</v>
      </c>
      <c r="F29" s="6">
        <v>10</v>
      </c>
      <c r="G29" s="6">
        <v>50</v>
      </c>
      <c r="H29" s="6">
        <v>8</v>
      </c>
      <c r="I29" s="7">
        <v>44.3</v>
      </c>
      <c r="K29" s="5">
        <v>424.85</v>
      </c>
      <c r="L29" s="6">
        <v>23.39</v>
      </c>
      <c r="M29" s="6">
        <v>21</v>
      </c>
      <c r="N29" s="6">
        <v>84</v>
      </c>
      <c r="O29" s="7">
        <v>207</v>
      </c>
      <c r="P29" s="7">
        <v>42.8</v>
      </c>
    </row>
    <row r="30" spans="3:21" x14ac:dyDescent="0.25">
      <c r="D30" s="5">
        <v>549.73</v>
      </c>
      <c r="E30" s="6">
        <v>23.35</v>
      </c>
      <c r="F30" s="6">
        <v>10</v>
      </c>
      <c r="G30" s="6">
        <v>41</v>
      </c>
      <c r="H30" s="6">
        <v>8</v>
      </c>
      <c r="I30" s="7">
        <v>44.3</v>
      </c>
      <c r="K30" s="5">
        <v>459.4</v>
      </c>
      <c r="L30" s="6">
        <v>23.48</v>
      </c>
      <c r="M30" s="6">
        <v>30</v>
      </c>
      <c r="N30" s="6">
        <v>113</v>
      </c>
      <c r="O30" s="7">
        <v>217</v>
      </c>
      <c r="P30" s="7">
        <v>43.3</v>
      </c>
    </row>
    <row r="31" spans="3:21" x14ac:dyDescent="0.25">
      <c r="D31" s="5">
        <v>552.33000000000004</v>
      </c>
      <c r="E31" s="6">
        <v>23.3</v>
      </c>
      <c r="F31" s="6">
        <v>10</v>
      </c>
      <c r="G31" s="6">
        <v>39</v>
      </c>
      <c r="H31" s="6">
        <v>8</v>
      </c>
      <c r="I31" s="7">
        <v>43.8</v>
      </c>
      <c r="K31" s="5">
        <v>504.17</v>
      </c>
      <c r="L31" s="6">
        <v>23.17</v>
      </c>
      <c r="M31" s="6">
        <v>15</v>
      </c>
      <c r="N31" s="6">
        <v>82</v>
      </c>
      <c r="O31" s="7">
        <v>202</v>
      </c>
      <c r="P31" s="7">
        <v>43.3</v>
      </c>
    </row>
    <row r="32" spans="3:21" x14ac:dyDescent="0.25">
      <c r="D32" s="8">
        <v>540.09</v>
      </c>
      <c r="E32" s="9">
        <v>22.92</v>
      </c>
      <c r="F32" s="9">
        <v>10</v>
      </c>
      <c r="G32" s="9">
        <v>52</v>
      </c>
      <c r="H32" s="9">
        <v>8</v>
      </c>
      <c r="I32" s="10">
        <v>44.3</v>
      </c>
      <c r="K32" s="8">
        <v>444.31</v>
      </c>
      <c r="L32" s="9">
        <v>23.07</v>
      </c>
      <c r="M32" s="9">
        <v>25</v>
      </c>
      <c r="N32" s="9">
        <v>115</v>
      </c>
      <c r="O32" s="10">
        <v>203</v>
      </c>
      <c r="P32" s="10">
        <v>43.3</v>
      </c>
    </row>
    <row r="34" spans="3:21" x14ac:dyDescent="0.25">
      <c r="D34" t="s">
        <v>13</v>
      </c>
      <c r="K34" t="s">
        <v>20</v>
      </c>
    </row>
    <row r="35" spans="3:21" x14ac:dyDescent="0.25">
      <c r="D35" t="s">
        <v>0</v>
      </c>
      <c r="E35" t="s">
        <v>1</v>
      </c>
      <c r="F35" t="s">
        <v>2</v>
      </c>
      <c r="G35" t="s">
        <v>3</v>
      </c>
      <c r="H35" t="s">
        <v>4</v>
      </c>
      <c r="I35" t="s">
        <v>5</v>
      </c>
      <c r="K35" t="s">
        <v>0</v>
      </c>
      <c r="L35" t="s">
        <v>1</v>
      </c>
      <c r="M35" t="s">
        <v>2</v>
      </c>
      <c r="N35" t="s">
        <v>3</v>
      </c>
      <c r="O35" t="s">
        <v>4</v>
      </c>
      <c r="P35" t="s">
        <v>5</v>
      </c>
      <c r="Q35" t="s">
        <v>14</v>
      </c>
      <c r="R35" t="s">
        <v>15</v>
      </c>
      <c r="S35" t="s">
        <v>16</v>
      </c>
      <c r="T35" t="s">
        <v>17</v>
      </c>
      <c r="U35" t="s">
        <v>18</v>
      </c>
    </row>
    <row r="36" spans="3:21" x14ac:dyDescent="0.25">
      <c r="D36" s="1">
        <f t="shared" ref="D36:I36" si="3">AVERAGE(D23:D32)</f>
        <v>546.64200000000005</v>
      </c>
      <c r="E36" s="1">
        <f t="shared" si="3"/>
        <v>23.263999999999999</v>
      </c>
      <c r="F36" s="1">
        <f t="shared" si="3"/>
        <v>9.8000000000000007</v>
      </c>
      <c r="G36" s="1">
        <f t="shared" si="3"/>
        <v>43.9</v>
      </c>
      <c r="H36" s="1">
        <f t="shared" si="3"/>
        <v>7.9</v>
      </c>
      <c r="I36" s="1">
        <f t="shared" si="3"/>
        <v>43.800000000000004</v>
      </c>
      <c r="J36" s="1"/>
      <c r="K36" s="1">
        <f t="shared" ref="K36:P36" si="4">AVERAGE(K23:K32)</f>
        <v>465.48700000000008</v>
      </c>
      <c r="L36" s="1">
        <f t="shared" si="4"/>
        <v>23.149999999999995</v>
      </c>
      <c r="M36" s="1">
        <f t="shared" si="4"/>
        <v>23.7</v>
      </c>
      <c r="N36" s="1">
        <f t="shared" si="4"/>
        <v>96.4</v>
      </c>
      <c r="O36" s="1">
        <f t="shared" si="4"/>
        <v>204.5</v>
      </c>
      <c r="P36" s="1">
        <f t="shared" si="4"/>
        <v>43.100000000000009</v>
      </c>
      <c r="Q36" s="1">
        <f>STDEVA(K23:K32)</f>
        <v>28.733918420183791</v>
      </c>
      <c r="R36" s="1">
        <f t="shared" ref="R36:U36" si="5">STDEVA(L23:L32)</f>
        <v>0.30007406493138405</v>
      </c>
      <c r="S36" s="1">
        <f t="shared" si="5"/>
        <v>5.5186552307202152</v>
      </c>
      <c r="T36" s="1">
        <f t="shared" si="5"/>
        <v>18.398067531371012</v>
      </c>
      <c r="U36" s="1">
        <f t="shared" si="5"/>
        <v>12.624931242937084</v>
      </c>
    </row>
    <row r="38" spans="3:21" x14ac:dyDescent="0.25">
      <c r="C38" t="s">
        <v>7</v>
      </c>
      <c r="K38" t="s">
        <v>21</v>
      </c>
    </row>
    <row r="39" spans="3:21" x14ac:dyDescent="0.25">
      <c r="D39" s="2" t="s">
        <v>0</v>
      </c>
      <c r="E39" s="3" t="s">
        <v>1</v>
      </c>
      <c r="F39" s="3" t="s">
        <v>2</v>
      </c>
      <c r="G39" s="3" t="s">
        <v>3</v>
      </c>
      <c r="H39" s="3" t="s">
        <v>4</v>
      </c>
      <c r="I39" s="4" t="s">
        <v>5</v>
      </c>
      <c r="K39" s="2" t="s">
        <v>0</v>
      </c>
      <c r="L39" s="3" t="s">
        <v>1</v>
      </c>
      <c r="M39" s="3" t="s">
        <v>2</v>
      </c>
      <c r="N39" s="3" t="s">
        <v>3</v>
      </c>
      <c r="O39" s="4" t="s">
        <v>4</v>
      </c>
      <c r="P39" s="4" t="s">
        <v>5</v>
      </c>
    </row>
    <row r="40" spans="3:21" x14ac:dyDescent="0.25">
      <c r="D40" s="5">
        <v>556.63</v>
      </c>
      <c r="E40" s="6">
        <v>23.29</v>
      </c>
      <c r="F40" s="6">
        <v>10</v>
      </c>
      <c r="G40" s="6">
        <v>42</v>
      </c>
      <c r="H40" s="6">
        <v>8</v>
      </c>
      <c r="I40" s="7">
        <v>44.3</v>
      </c>
      <c r="K40" s="5">
        <v>355.66</v>
      </c>
      <c r="L40" s="6">
        <v>23.44</v>
      </c>
      <c r="M40" s="6">
        <v>17</v>
      </c>
      <c r="N40" s="6">
        <v>149</v>
      </c>
      <c r="O40" s="7">
        <v>175</v>
      </c>
      <c r="P40" s="7">
        <v>43.8</v>
      </c>
    </row>
    <row r="41" spans="3:21" x14ac:dyDescent="0.25">
      <c r="D41" s="5">
        <v>541.47</v>
      </c>
      <c r="E41" s="6">
        <v>23.27</v>
      </c>
      <c r="F41" s="6">
        <v>10</v>
      </c>
      <c r="G41" s="6">
        <v>58</v>
      </c>
      <c r="H41" s="6">
        <v>8</v>
      </c>
      <c r="I41" s="7">
        <v>43.8</v>
      </c>
      <c r="K41" s="5">
        <v>335.7</v>
      </c>
      <c r="L41" s="6">
        <v>23.41</v>
      </c>
      <c r="M41" s="6">
        <v>16</v>
      </c>
      <c r="N41" s="6">
        <v>148</v>
      </c>
      <c r="O41" s="7">
        <v>208</v>
      </c>
      <c r="P41" s="7">
        <v>44.3</v>
      </c>
    </row>
    <row r="42" spans="3:21" x14ac:dyDescent="0.25">
      <c r="D42" s="5">
        <v>561.12</v>
      </c>
      <c r="E42" s="6">
        <v>23.39</v>
      </c>
      <c r="F42" s="6">
        <v>10</v>
      </c>
      <c r="G42" s="6">
        <v>49</v>
      </c>
      <c r="H42" s="6">
        <v>8</v>
      </c>
      <c r="I42" s="7">
        <v>44.3</v>
      </c>
      <c r="K42" s="5">
        <v>342.23</v>
      </c>
      <c r="L42" s="6">
        <v>23.37</v>
      </c>
      <c r="M42" s="6">
        <v>30</v>
      </c>
      <c r="N42" s="6">
        <v>159</v>
      </c>
      <c r="O42" s="7">
        <v>199</v>
      </c>
      <c r="P42" s="7">
        <v>44.8</v>
      </c>
    </row>
    <row r="43" spans="3:21" x14ac:dyDescent="0.25">
      <c r="D43" s="5">
        <v>536.4</v>
      </c>
      <c r="E43" s="6">
        <v>23.3</v>
      </c>
      <c r="F43" s="6">
        <v>10</v>
      </c>
      <c r="G43" s="6">
        <v>43</v>
      </c>
      <c r="H43" s="6">
        <v>8</v>
      </c>
      <c r="I43" s="7">
        <v>44.8</v>
      </c>
      <c r="K43" s="5">
        <v>335.54</v>
      </c>
      <c r="L43" s="6">
        <v>23.46</v>
      </c>
      <c r="M43" s="6">
        <v>35</v>
      </c>
      <c r="N43" s="6">
        <v>139</v>
      </c>
      <c r="O43" s="7">
        <v>213</v>
      </c>
      <c r="P43" s="7">
        <v>43.8</v>
      </c>
    </row>
    <row r="44" spans="3:21" x14ac:dyDescent="0.25">
      <c r="D44" s="5">
        <v>555.07000000000005</v>
      </c>
      <c r="E44" s="6">
        <v>23.35</v>
      </c>
      <c r="F44" s="6">
        <v>10</v>
      </c>
      <c r="G44" s="6">
        <v>40</v>
      </c>
      <c r="H44" s="6">
        <v>8</v>
      </c>
      <c r="I44" s="7">
        <v>44.3</v>
      </c>
      <c r="K44" s="5">
        <v>300.75</v>
      </c>
      <c r="L44" s="6">
        <v>23.38</v>
      </c>
      <c r="M44" s="6">
        <v>16</v>
      </c>
      <c r="N44" s="6">
        <v>171</v>
      </c>
      <c r="O44" s="7">
        <v>213</v>
      </c>
      <c r="P44" s="7">
        <v>45.2</v>
      </c>
    </row>
    <row r="45" spans="3:21" x14ac:dyDescent="0.25">
      <c r="D45" s="5">
        <v>545.33000000000004</v>
      </c>
      <c r="E45" s="6">
        <v>23.21</v>
      </c>
      <c r="F45" s="6">
        <v>10</v>
      </c>
      <c r="G45" s="6">
        <v>44</v>
      </c>
      <c r="H45" s="6">
        <v>8</v>
      </c>
      <c r="I45" s="7">
        <v>44.8</v>
      </c>
      <c r="K45" s="5">
        <v>313.82</v>
      </c>
      <c r="L45" s="6">
        <v>23.89</v>
      </c>
      <c r="M45" s="6">
        <v>25</v>
      </c>
      <c r="N45" s="6">
        <v>181</v>
      </c>
      <c r="O45" s="7">
        <v>223</v>
      </c>
      <c r="P45" s="7">
        <v>43.3</v>
      </c>
    </row>
    <row r="46" spans="3:21" x14ac:dyDescent="0.25">
      <c r="D46" s="5">
        <v>546.09</v>
      </c>
      <c r="E46" s="6">
        <v>23.3</v>
      </c>
      <c r="F46" s="6">
        <v>9</v>
      </c>
      <c r="G46" s="6">
        <v>48</v>
      </c>
      <c r="H46" s="6">
        <v>8</v>
      </c>
      <c r="I46" s="7">
        <v>44.8</v>
      </c>
      <c r="K46" s="5">
        <v>337.69</v>
      </c>
      <c r="L46" s="6">
        <v>23.43</v>
      </c>
      <c r="M46" s="6">
        <v>26</v>
      </c>
      <c r="N46" s="6">
        <v>164</v>
      </c>
      <c r="O46" s="7">
        <v>211</v>
      </c>
      <c r="P46" s="7">
        <v>43.8</v>
      </c>
    </row>
    <row r="47" spans="3:21" x14ac:dyDescent="0.25">
      <c r="D47" s="5">
        <v>555.49</v>
      </c>
      <c r="E47" s="6">
        <v>23.27</v>
      </c>
      <c r="F47" s="6">
        <v>9</v>
      </c>
      <c r="G47" s="6">
        <v>40</v>
      </c>
      <c r="H47" s="6">
        <v>8</v>
      </c>
      <c r="I47" s="7">
        <v>44.8</v>
      </c>
      <c r="K47" s="5">
        <v>328.8</v>
      </c>
      <c r="L47" s="6">
        <v>23.37</v>
      </c>
      <c r="M47" s="6">
        <v>24</v>
      </c>
      <c r="N47" s="6">
        <v>167</v>
      </c>
      <c r="O47" s="7">
        <v>212</v>
      </c>
      <c r="P47" s="7">
        <v>44.8</v>
      </c>
    </row>
    <row r="48" spans="3:21" x14ac:dyDescent="0.25">
      <c r="D48" s="5">
        <v>542.42999999999995</v>
      </c>
      <c r="E48" s="6">
        <v>23.36</v>
      </c>
      <c r="F48" s="6">
        <v>9</v>
      </c>
      <c r="G48" s="6">
        <v>60</v>
      </c>
      <c r="H48" s="6">
        <v>8</v>
      </c>
      <c r="I48" s="7">
        <v>44.8</v>
      </c>
      <c r="K48" s="5">
        <v>323.37</v>
      </c>
      <c r="L48" s="6">
        <v>23.4</v>
      </c>
      <c r="M48" s="6">
        <v>15</v>
      </c>
      <c r="N48" s="6">
        <v>151</v>
      </c>
      <c r="O48" s="7">
        <v>205</v>
      </c>
      <c r="P48" s="7">
        <v>44.3</v>
      </c>
    </row>
    <row r="49" spans="3:21" x14ac:dyDescent="0.25">
      <c r="D49" s="5">
        <v>547.04999999999995</v>
      </c>
      <c r="E49" s="6">
        <v>23.34</v>
      </c>
      <c r="F49" s="6">
        <v>10</v>
      </c>
      <c r="G49" s="6">
        <v>49</v>
      </c>
      <c r="H49" s="6">
        <v>7</v>
      </c>
      <c r="I49" s="7">
        <v>44.8</v>
      </c>
      <c r="K49" s="5">
        <v>330.04</v>
      </c>
      <c r="L49" s="6">
        <v>23.39</v>
      </c>
      <c r="M49" s="6">
        <v>34</v>
      </c>
      <c r="N49" s="6">
        <v>169</v>
      </c>
      <c r="O49" s="7">
        <v>211</v>
      </c>
      <c r="P49" s="7">
        <v>43.8</v>
      </c>
    </row>
    <row r="51" spans="3:21" x14ac:dyDescent="0.25">
      <c r="D51" t="s">
        <v>13</v>
      </c>
      <c r="K51" t="s">
        <v>22</v>
      </c>
    </row>
    <row r="52" spans="3:21" x14ac:dyDescent="0.25">
      <c r="D52" t="s">
        <v>0</v>
      </c>
      <c r="E52" t="s">
        <v>1</v>
      </c>
      <c r="F52" t="s">
        <v>2</v>
      </c>
      <c r="G52" t="s">
        <v>3</v>
      </c>
      <c r="H52" t="s">
        <v>4</v>
      </c>
      <c r="I52" t="s">
        <v>5</v>
      </c>
      <c r="K52" t="s">
        <v>0</v>
      </c>
      <c r="L52" t="s">
        <v>1</v>
      </c>
      <c r="M52" t="s">
        <v>2</v>
      </c>
      <c r="N52" t="s">
        <v>3</v>
      </c>
      <c r="O52" t="s">
        <v>4</v>
      </c>
      <c r="P52" t="s">
        <v>5</v>
      </c>
      <c r="Q52" t="s">
        <v>14</v>
      </c>
      <c r="R52" t="s">
        <v>15</v>
      </c>
      <c r="S52" t="s">
        <v>16</v>
      </c>
      <c r="T52" t="s">
        <v>17</v>
      </c>
      <c r="U52" t="s">
        <v>18</v>
      </c>
    </row>
    <row r="53" spans="3:21" x14ac:dyDescent="0.25">
      <c r="D53" s="1">
        <f t="shared" ref="D53:I53" si="6">AVERAGE(D40:D49)</f>
        <v>548.70800000000008</v>
      </c>
      <c r="E53" s="1">
        <f t="shared" si="6"/>
        <v>23.308</v>
      </c>
      <c r="F53" s="1">
        <f t="shared" si="6"/>
        <v>9.6999999999999993</v>
      </c>
      <c r="G53" s="1">
        <f t="shared" si="6"/>
        <v>47.3</v>
      </c>
      <c r="H53" s="1">
        <f t="shared" si="6"/>
        <v>7.9</v>
      </c>
      <c r="I53" s="1">
        <f t="shared" si="6"/>
        <v>44.550000000000004</v>
      </c>
      <c r="J53" s="1"/>
      <c r="K53" s="1">
        <f>AVERAGE(K40:K49)</f>
        <v>330.36</v>
      </c>
      <c r="L53" s="1">
        <f>AVERAGE(L40:L49)</f>
        <v>23.454000000000001</v>
      </c>
      <c r="M53" s="1">
        <f>AVERAGE(M40:M49)</f>
        <v>23.8</v>
      </c>
      <c r="N53" s="1">
        <f>AVERAGE(N40:N49)</f>
        <v>159.80000000000001</v>
      </c>
      <c r="O53" s="1">
        <f>AVERAGE(O40:O49)</f>
        <v>207</v>
      </c>
      <c r="P53" s="1">
        <f t="shared" ref="P53" si="7">AVERAGE(P40:P49)</f>
        <v>44.190000000000005</v>
      </c>
      <c r="Q53" s="1">
        <f>STDEVA(K40:K49)</f>
        <v>15.245340271702704</v>
      </c>
      <c r="R53" s="1">
        <f t="shared" ref="R53:U53" si="8">STDEVA(L40:L49)</f>
        <v>0.15614807786912482</v>
      </c>
      <c r="S53" s="1">
        <f t="shared" si="8"/>
        <v>7.5982454114968787</v>
      </c>
      <c r="T53" s="1">
        <f t="shared" si="8"/>
        <v>12.890995996344806</v>
      </c>
      <c r="U53" s="1">
        <f t="shared" si="8"/>
        <v>12.814921857827391</v>
      </c>
    </row>
    <row r="55" spans="3:21" x14ac:dyDescent="0.25">
      <c r="C55" t="s">
        <v>8</v>
      </c>
      <c r="D55" t="s">
        <v>6</v>
      </c>
      <c r="K55" t="s">
        <v>11</v>
      </c>
    </row>
    <row r="56" spans="3:21" x14ac:dyDescent="0.25">
      <c r="D56" s="2" t="s">
        <v>0</v>
      </c>
      <c r="E56" s="3" t="s">
        <v>1</v>
      </c>
      <c r="F56" s="3" t="s">
        <v>2</v>
      </c>
      <c r="G56" s="3" t="s">
        <v>3</v>
      </c>
      <c r="H56" s="4" t="s">
        <v>4</v>
      </c>
      <c r="K56" s="2" t="s">
        <v>0</v>
      </c>
      <c r="L56" s="3" t="s">
        <v>1</v>
      </c>
      <c r="M56" s="3" t="s">
        <v>2</v>
      </c>
      <c r="N56" s="3" t="s">
        <v>3</v>
      </c>
      <c r="O56" s="4" t="s">
        <v>4</v>
      </c>
    </row>
    <row r="57" spans="3:21" x14ac:dyDescent="0.25">
      <c r="D57" s="5">
        <v>525.69000000000005</v>
      </c>
      <c r="E57" s="6">
        <v>23.03</v>
      </c>
      <c r="F57" s="6">
        <v>10</v>
      </c>
      <c r="G57" s="6">
        <v>83</v>
      </c>
      <c r="H57" s="7">
        <v>215</v>
      </c>
      <c r="K57" s="5">
        <v>537</v>
      </c>
      <c r="L57" s="6">
        <v>23.08</v>
      </c>
      <c r="M57" s="6">
        <v>30</v>
      </c>
      <c r="N57" s="6">
        <v>62</v>
      </c>
      <c r="O57" s="7">
        <v>210</v>
      </c>
    </row>
    <row r="58" spans="3:21" x14ac:dyDescent="0.25">
      <c r="D58" s="5">
        <v>534.66999999999996</v>
      </c>
      <c r="E58" s="6">
        <v>21.76</v>
      </c>
      <c r="F58" s="6">
        <v>11</v>
      </c>
      <c r="G58" s="6">
        <v>79</v>
      </c>
      <c r="H58" s="7">
        <v>153</v>
      </c>
      <c r="K58" s="5">
        <v>536.16</v>
      </c>
      <c r="L58" s="6">
        <v>23.04</v>
      </c>
      <c r="M58" s="6">
        <v>23</v>
      </c>
      <c r="N58" s="6">
        <v>61</v>
      </c>
      <c r="O58" s="7">
        <v>191</v>
      </c>
    </row>
    <row r="59" spans="3:21" x14ac:dyDescent="0.25">
      <c r="D59" s="5">
        <v>529.41999999999996</v>
      </c>
      <c r="E59" s="6">
        <v>22.97</v>
      </c>
      <c r="F59" s="6">
        <v>11</v>
      </c>
      <c r="G59" s="6">
        <v>55</v>
      </c>
      <c r="H59" s="7">
        <v>182</v>
      </c>
      <c r="K59" s="5">
        <v>532.27</v>
      </c>
      <c r="L59" s="6">
        <v>23.11</v>
      </c>
      <c r="M59" s="6">
        <v>22</v>
      </c>
      <c r="N59" s="6">
        <v>69</v>
      </c>
      <c r="O59" s="7">
        <v>208</v>
      </c>
    </row>
    <row r="60" spans="3:21" x14ac:dyDescent="0.25">
      <c r="D60" s="5">
        <v>536.12</v>
      </c>
      <c r="E60" s="6">
        <v>22.97</v>
      </c>
      <c r="F60" s="6">
        <v>11</v>
      </c>
      <c r="G60" s="6">
        <v>57</v>
      </c>
      <c r="H60" s="7">
        <v>173</v>
      </c>
      <c r="K60" s="5">
        <v>531.89</v>
      </c>
      <c r="L60" s="6">
        <v>22.97</v>
      </c>
      <c r="M60" s="6">
        <v>33</v>
      </c>
      <c r="N60" s="6">
        <v>64</v>
      </c>
      <c r="O60" s="7">
        <v>185</v>
      </c>
    </row>
    <row r="61" spans="3:21" x14ac:dyDescent="0.25">
      <c r="D61" s="5">
        <v>551.9</v>
      </c>
      <c r="E61" s="6">
        <v>23.14</v>
      </c>
      <c r="F61" s="6">
        <v>12</v>
      </c>
      <c r="G61" s="6">
        <v>62</v>
      </c>
      <c r="H61" s="7">
        <v>201</v>
      </c>
      <c r="K61" s="5">
        <v>534.03</v>
      </c>
      <c r="L61" s="6">
        <v>23.1</v>
      </c>
      <c r="M61" s="6">
        <v>35</v>
      </c>
      <c r="N61" s="6">
        <v>65</v>
      </c>
      <c r="O61" s="7">
        <v>203</v>
      </c>
    </row>
    <row r="62" spans="3:21" x14ac:dyDescent="0.25">
      <c r="D62" s="5">
        <v>541.58000000000004</v>
      </c>
      <c r="E62" s="6">
        <v>22.98</v>
      </c>
      <c r="F62" s="6">
        <v>12</v>
      </c>
      <c r="G62" s="6">
        <v>64</v>
      </c>
      <c r="H62" s="7">
        <v>157</v>
      </c>
      <c r="K62" s="5">
        <v>543.65</v>
      </c>
      <c r="L62" s="6">
        <v>23.1</v>
      </c>
      <c r="M62" s="6">
        <v>28</v>
      </c>
      <c r="N62" s="6">
        <v>65</v>
      </c>
      <c r="O62" s="7">
        <v>204</v>
      </c>
    </row>
    <row r="63" spans="3:21" x14ac:dyDescent="0.25">
      <c r="D63" s="5">
        <v>528.85</v>
      </c>
      <c r="E63" s="6">
        <v>23.05</v>
      </c>
      <c r="F63" s="6">
        <v>11</v>
      </c>
      <c r="G63" s="6">
        <v>85</v>
      </c>
      <c r="H63" s="7">
        <v>208</v>
      </c>
      <c r="K63" s="5">
        <v>546.80999999999995</v>
      </c>
      <c r="L63" s="6">
        <v>23.15</v>
      </c>
      <c r="M63" s="6">
        <v>23</v>
      </c>
      <c r="N63" s="6">
        <v>65</v>
      </c>
      <c r="O63" s="7">
        <v>211</v>
      </c>
    </row>
    <row r="64" spans="3:21" x14ac:dyDescent="0.25">
      <c r="D64" s="5">
        <v>535.34</v>
      </c>
      <c r="E64" s="6">
        <v>23.07</v>
      </c>
      <c r="F64" s="6">
        <v>12</v>
      </c>
      <c r="G64" s="6">
        <v>78</v>
      </c>
      <c r="H64" s="7">
        <v>202</v>
      </c>
      <c r="K64" s="5">
        <v>521.86</v>
      </c>
      <c r="L64" s="6">
        <v>23.08</v>
      </c>
      <c r="M64" s="6">
        <v>22</v>
      </c>
      <c r="N64" s="6">
        <v>66</v>
      </c>
      <c r="O64" s="7">
        <v>204</v>
      </c>
    </row>
    <row r="65" spans="3:21" x14ac:dyDescent="0.25">
      <c r="D65" s="5">
        <v>536.38</v>
      </c>
      <c r="E65" s="6">
        <v>23.14</v>
      </c>
      <c r="F65" s="6">
        <v>13</v>
      </c>
      <c r="G65" s="6">
        <v>77</v>
      </c>
      <c r="H65" s="7">
        <v>205</v>
      </c>
      <c r="K65" s="5">
        <v>531.39</v>
      </c>
      <c r="L65" s="6">
        <v>22.81</v>
      </c>
      <c r="M65" s="6">
        <v>40</v>
      </c>
      <c r="N65" s="6">
        <v>70</v>
      </c>
      <c r="O65" s="7">
        <v>168</v>
      </c>
    </row>
    <row r="66" spans="3:21" x14ac:dyDescent="0.25">
      <c r="D66" s="8">
        <v>551.12</v>
      </c>
      <c r="E66" s="9">
        <v>23.03</v>
      </c>
      <c r="F66" s="9">
        <v>11</v>
      </c>
      <c r="G66" s="9">
        <v>58</v>
      </c>
      <c r="H66" s="10">
        <v>187</v>
      </c>
      <c r="K66" s="8">
        <v>531.41</v>
      </c>
      <c r="L66" s="9">
        <v>23.05</v>
      </c>
      <c r="M66" s="9">
        <v>34</v>
      </c>
      <c r="N66" s="9">
        <v>69</v>
      </c>
      <c r="O66" s="10">
        <v>215</v>
      </c>
    </row>
    <row r="68" spans="3:21" x14ac:dyDescent="0.25">
      <c r="D68" t="s">
        <v>13</v>
      </c>
      <c r="K68" t="s">
        <v>12</v>
      </c>
    </row>
    <row r="69" spans="3:21" x14ac:dyDescent="0.25">
      <c r="D69" t="s">
        <v>0</v>
      </c>
      <c r="E69" t="s">
        <v>1</v>
      </c>
      <c r="F69" t="s">
        <v>2</v>
      </c>
      <c r="G69" t="s">
        <v>3</v>
      </c>
      <c r="H69" t="s">
        <v>4</v>
      </c>
      <c r="K69" t="s">
        <v>0</v>
      </c>
      <c r="L69" t="s">
        <v>1</v>
      </c>
      <c r="M69" t="s">
        <v>2</v>
      </c>
      <c r="N69" t="s">
        <v>3</v>
      </c>
      <c r="O69" t="s">
        <v>4</v>
      </c>
      <c r="Q69" t="s">
        <v>14</v>
      </c>
      <c r="R69" t="s">
        <v>15</v>
      </c>
      <c r="S69" t="s">
        <v>16</v>
      </c>
      <c r="T69" t="s">
        <v>17</v>
      </c>
      <c r="U69" t="s">
        <v>18</v>
      </c>
    </row>
    <row r="70" spans="3:21" x14ac:dyDescent="0.25">
      <c r="D70" s="1">
        <f t="shared" ref="D70:H70" si="9">AVERAGE(D57:D66)</f>
        <v>537.10699999999997</v>
      </c>
      <c r="E70" s="1">
        <f t="shared" si="9"/>
        <v>22.914000000000001</v>
      </c>
      <c r="F70" s="1">
        <f t="shared" si="9"/>
        <v>11.4</v>
      </c>
      <c r="G70" s="1">
        <f t="shared" si="9"/>
        <v>69.8</v>
      </c>
      <c r="H70" s="1">
        <f t="shared" si="9"/>
        <v>188.3</v>
      </c>
      <c r="I70" s="1"/>
      <c r="J70" s="1"/>
      <c r="K70" s="1">
        <f t="shared" ref="K70:O70" si="10">AVERAGE(K57:K66)</f>
        <v>534.64699999999993</v>
      </c>
      <c r="L70" s="1">
        <f t="shared" si="10"/>
        <v>23.048999999999999</v>
      </c>
      <c r="M70" s="1">
        <f t="shared" si="10"/>
        <v>29</v>
      </c>
      <c r="N70" s="1">
        <f t="shared" si="10"/>
        <v>65.599999999999994</v>
      </c>
      <c r="O70" s="1">
        <f t="shared" si="10"/>
        <v>199.9</v>
      </c>
      <c r="Q70" s="1">
        <f>STDEVA(K57:K66)</f>
        <v>6.9525679508445597</v>
      </c>
      <c r="R70" s="1">
        <f t="shared" ref="R70:U70" si="11">STDEVA(L57:L66)</f>
        <v>9.6890545347716142E-2</v>
      </c>
      <c r="S70" s="1">
        <f t="shared" si="11"/>
        <v>6.4117946872237814</v>
      </c>
      <c r="T70" s="1">
        <f t="shared" si="11"/>
        <v>2.9888682361946519</v>
      </c>
      <c r="U70" s="1">
        <f t="shared" si="11"/>
        <v>14.4564480038801</v>
      </c>
    </row>
    <row r="72" spans="3:21" x14ac:dyDescent="0.25">
      <c r="C72" t="s">
        <v>8</v>
      </c>
      <c r="D72" t="s">
        <v>6</v>
      </c>
      <c r="K72" t="s">
        <v>19</v>
      </c>
    </row>
    <row r="73" spans="3:21" x14ac:dyDescent="0.25">
      <c r="D73" s="2" t="s">
        <v>0</v>
      </c>
      <c r="E73" s="3" t="s">
        <v>1</v>
      </c>
      <c r="F73" s="3" t="s">
        <v>2</v>
      </c>
      <c r="G73" s="3" t="s">
        <v>3</v>
      </c>
      <c r="H73" s="4" t="s">
        <v>4</v>
      </c>
      <c r="K73" s="2" t="s">
        <v>0</v>
      </c>
      <c r="L73" s="3" t="s">
        <v>1</v>
      </c>
      <c r="M73" s="3" t="s">
        <v>2</v>
      </c>
      <c r="N73" s="3" t="s">
        <v>3</v>
      </c>
      <c r="O73" s="4" t="s">
        <v>4</v>
      </c>
    </row>
    <row r="74" spans="3:21" x14ac:dyDescent="0.25">
      <c r="D74" s="5">
        <v>538.01</v>
      </c>
      <c r="E74" s="6">
        <v>23.1</v>
      </c>
      <c r="F74" s="6">
        <v>12</v>
      </c>
      <c r="G74" s="6">
        <v>73</v>
      </c>
      <c r="H74" s="7">
        <v>204</v>
      </c>
      <c r="K74" s="5">
        <v>546.9</v>
      </c>
      <c r="L74" s="6">
        <v>23.1</v>
      </c>
      <c r="M74" s="6">
        <v>13</v>
      </c>
      <c r="N74" s="6">
        <v>69</v>
      </c>
      <c r="O74" s="7">
        <v>202</v>
      </c>
    </row>
    <row r="75" spans="3:21" x14ac:dyDescent="0.25">
      <c r="D75" s="5">
        <v>539.05999999999995</v>
      </c>
      <c r="E75" s="6">
        <v>22.85</v>
      </c>
      <c r="F75" s="6">
        <v>11</v>
      </c>
      <c r="G75" s="6">
        <v>64</v>
      </c>
      <c r="H75" s="7">
        <v>185</v>
      </c>
      <c r="K75" s="5">
        <v>509.62</v>
      </c>
      <c r="L75" s="6">
        <v>26.02</v>
      </c>
      <c r="M75" s="6">
        <v>18</v>
      </c>
      <c r="N75" s="6">
        <v>86</v>
      </c>
      <c r="O75" s="7">
        <v>204</v>
      </c>
    </row>
    <row r="76" spans="3:21" x14ac:dyDescent="0.25">
      <c r="D76" s="5">
        <v>530.5</v>
      </c>
      <c r="E76" s="6">
        <v>23</v>
      </c>
      <c r="F76" s="6">
        <v>12</v>
      </c>
      <c r="G76" s="6">
        <v>77</v>
      </c>
      <c r="H76" s="7">
        <v>218</v>
      </c>
      <c r="K76" s="5">
        <v>406.4</v>
      </c>
      <c r="L76" s="6">
        <v>23.1</v>
      </c>
      <c r="M76" s="6">
        <v>36</v>
      </c>
      <c r="N76" s="6">
        <v>99</v>
      </c>
      <c r="O76" s="7">
        <v>213</v>
      </c>
    </row>
    <row r="77" spans="3:21" x14ac:dyDescent="0.25">
      <c r="D77" s="5">
        <v>539.82000000000005</v>
      </c>
      <c r="E77" s="6">
        <v>23.01</v>
      </c>
      <c r="F77" s="6">
        <v>10</v>
      </c>
      <c r="G77" s="6">
        <v>72</v>
      </c>
      <c r="H77" s="7">
        <v>199</v>
      </c>
      <c r="K77" s="5">
        <v>527.41999999999996</v>
      </c>
      <c r="L77" s="6">
        <v>23.13</v>
      </c>
      <c r="M77" s="6">
        <v>19</v>
      </c>
      <c r="N77" s="6">
        <v>77</v>
      </c>
      <c r="O77" s="7">
        <v>208</v>
      </c>
    </row>
    <row r="78" spans="3:21" x14ac:dyDescent="0.25">
      <c r="D78" s="5">
        <v>548.13</v>
      </c>
      <c r="E78" s="6">
        <v>23.19</v>
      </c>
      <c r="F78" s="6">
        <v>11</v>
      </c>
      <c r="G78" s="6">
        <v>73</v>
      </c>
      <c r="H78" s="7">
        <v>209</v>
      </c>
      <c r="K78" s="5">
        <v>525.59</v>
      </c>
      <c r="L78" s="6">
        <v>23.13</v>
      </c>
      <c r="M78" s="6">
        <v>35</v>
      </c>
      <c r="N78" s="6">
        <v>70</v>
      </c>
      <c r="O78" s="7">
        <v>214</v>
      </c>
    </row>
    <row r="79" spans="3:21" x14ac:dyDescent="0.25">
      <c r="D79" s="5">
        <v>543.99</v>
      </c>
      <c r="E79" s="6">
        <v>23.1</v>
      </c>
      <c r="F79" s="6">
        <v>11</v>
      </c>
      <c r="G79" s="6">
        <v>57</v>
      </c>
      <c r="H79" s="7">
        <v>182</v>
      </c>
      <c r="K79" s="5">
        <v>524.54999999999995</v>
      </c>
      <c r="L79" s="6">
        <v>23.03</v>
      </c>
      <c r="M79" s="6">
        <v>24</v>
      </c>
      <c r="N79" s="6">
        <v>68</v>
      </c>
      <c r="O79" s="7">
        <v>211</v>
      </c>
    </row>
    <row r="80" spans="3:21" x14ac:dyDescent="0.25">
      <c r="D80" s="5">
        <v>525.72</v>
      </c>
      <c r="E80" s="6">
        <v>23.07</v>
      </c>
      <c r="F80" s="6">
        <v>11</v>
      </c>
      <c r="G80" s="6">
        <v>66</v>
      </c>
      <c r="H80" s="7">
        <v>203</v>
      </c>
      <c r="K80" s="5">
        <v>478.12</v>
      </c>
      <c r="L80" s="6">
        <v>23.08</v>
      </c>
      <c r="M80" s="6">
        <v>35</v>
      </c>
      <c r="N80" s="6">
        <v>87</v>
      </c>
      <c r="O80" s="7">
        <v>208</v>
      </c>
    </row>
    <row r="81" spans="3:21" x14ac:dyDescent="0.25">
      <c r="D81" s="5">
        <v>537.48</v>
      </c>
      <c r="E81" s="6">
        <v>23.15</v>
      </c>
      <c r="F81" s="6">
        <v>12</v>
      </c>
      <c r="G81" s="6">
        <v>56</v>
      </c>
      <c r="H81" s="7">
        <v>213</v>
      </c>
      <c r="K81" s="5">
        <v>474.07</v>
      </c>
      <c r="L81" s="6">
        <v>22.73</v>
      </c>
      <c r="M81" s="6">
        <v>31</v>
      </c>
      <c r="N81" s="6">
        <v>120</v>
      </c>
      <c r="O81" s="7">
        <v>204</v>
      </c>
    </row>
    <row r="82" spans="3:21" x14ac:dyDescent="0.25">
      <c r="D82" s="5">
        <v>547.64</v>
      </c>
      <c r="E82" s="6">
        <v>23.11</v>
      </c>
      <c r="F82" s="6">
        <v>11</v>
      </c>
      <c r="G82" s="6">
        <v>77</v>
      </c>
      <c r="H82" s="7">
        <v>204</v>
      </c>
      <c r="K82" s="5">
        <v>388.07</v>
      </c>
      <c r="L82" s="6">
        <v>23.12</v>
      </c>
      <c r="M82" s="6">
        <v>41</v>
      </c>
      <c r="N82" s="6">
        <v>119</v>
      </c>
      <c r="O82" s="7">
        <v>222</v>
      </c>
    </row>
    <row r="83" spans="3:21" x14ac:dyDescent="0.25">
      <c r="D83" s="8">
        <v>531.54999999999995</v>
      </c>
      <c r="E83" s="9">
        <v>23.06</v>
      </c>
      <c r="F83" s="9">
        <v>12</v>
      </c>
      <c r="G83" s="9">
        <v>61</v>
      </c>
      <c r="H83" s="10">
        <v>208</v>
      </c>
      <c r="K83" s="8">
        <v>500.49</v>
      </c>
      <c r="L83" s="9">
        <v>23.1</v>
      </c>
      <c r="M83" s="9">
        <v>15</v>
      </c>
      <c r="N83" s="9">
        <v>113</v>
      </c>
      <c r="O83" s="10">
        <v>204</v>
      </c>
    </row>
    <row r="85" spans="3:21" x14ac:dyDescent="0.25">
      <c r="D85" t="s">
        <v>13</v>
      </c>
      <c r="K85" t="s">
        <v>20</v>
      </c>
    </row>
    <row r="86" spans="3:21" x14ac:dyDescent="0.25">
      <c r="D86" t="s">
        <v>0</v>
      </c>
      <c r="E86" t="s">
        <v>1</v>
      </c>
      <c r="F86" t="s">
        <v>2</v>
      </c>
      <c r="G86" t="s">
        <v>3</v>
      </c>
      <c r="H86" t="s">
        <v>4</v>
      </c>
      <c r="K86" t="s">
        <v>0</v>
      </c>
      <c r="L86" t="s">
        <v>1</v>
      </c>
      <c r="M86" t="s">
        <v>2</v>
      </c>
      <c r="N86" t="s">
        <v>3</v>
      </c>
      <c r="O86" t="s">
        <v>4</v>
      </c>
      <c r="Q86" t="s">
        <v>14</v>
      </c>
      <c r="R86" t="s">
        <v>15</v>
      </c>
      <c r="S86" t="s">
        <v>16</v>
      </c>
      <c r="T86" t="s">
        <v>17</v>
      </c>
      <c r="U86" t="s">
        <v>18</v>
      </c>
    </row>
    <row r="87" spans="3:21" x14ac:dyDescent="0.25">
      <c r="D87" s="1">
        <f t="shared" ref="D87:H87" si="12">AVERAGE(D74:D83)</f>
        <v>538.19000000000017</v>
      </c>
      <c r="E87" s="1">
        <f t="shared" si="12"/>
        <v>23.064</v>
      </c>
      <c r="F87" s="1">
        <f t="shared" si="12"/>
        <v>11.3</v>
      </c>
      <c r="G87" s="1">
        <f t="shared" si="12"/>
        <v>67.599999999999994</v>
      </c>
      <c r="H87" s="1">
        <f t="shared" si="12"/>
        <v>202.5</v>
      </c>
      <c r="I87" s="1"/>
      <c r="J87" s="1"/>
      <c r="K87" s="1">
        <f t="shared" ref="K87:O87" si="13">AVERAGE(K74:K83)</f>
        <v>488.12300000000005</v>
      </c>
      <c r="L87" s="1">
        <f t="shared" si="13"/>
        <v>23.353999999999996</v>
      </c>
      <c r="M87" s="1">
        <f t="shared" si="13"/>
        <v>26.7</v>
      </c>
      <c r="N87" s="1">
        <f t="shared" si="13"/>
        <v>90.8</v>
      </c>
      <c r="O87" s="1">
        <f t="shared" si="13"/>
        <v>209</v>
      </c>
      <c r="Q87" s="1">
        <f>STDEVA(K74:K83)</f>
        <v>53.052965578434915</v>
      </c>
      <c r="R87" s="1">
        <f t="shared" ref="R87:U87" si="14">STDEVA(L74:L83)</f>
        <v>0.94431868443750344</v>
      </c>
      <c r="S87" s="1">
        <f t="shared" si="14"/>
        <v>10.07802890781063</v>
      </c>
      <c r="T87" s="1">
        <f t="shared" si="14"/>
        <v>20.719287847049415</v>
      </c>
      <c r="U87" s="1">
        <f t="shared" si="14"/>
        <v>6.1463629715285917</v>
      </c>
    </row>
    <row r="89" spans="3:21" x14ac:dyDescent="0.25">
      <c r="C89" t="s">
        <v>8</v>
      </c>
      <c r="D89" t="s">
        <v>6</v>
      </c>
      <c r="K89" t="s">
        <v>21</v>
      </c>
    </row>
    <row r="90" spans="3:21" x14ac:dyDescent="0.25">
      <c r="D90" s="2" t="s">
        <v>0</v>
      </c>
      <c r="E90" s="3" t="s">
        <v>1</v>
      </c>
      <c r="F90" s="3" t="s">
        <v>2</v>
      </c>
      <c r="G90" s="3" t="s">
        <v>3</v>
      </c>
      <c r="H90" s="4" t="s">
        <v>4</v>
      </c>
      <c r="K90" s="2" t="s">
        <v>0</v>
      </c>
      <c r="L90" s="3" t="s">
        <v>1</v>
      </c>
      <c r="M90" s="3" t="s">
        <v>2</v>
      </c>
      <c r="N90" s="3" t="s">
        <v>3</v>
      </c>
      <c r="O90" s="4" t="s">
        <v>4</v>
      </c>
    </row>
    <row r="91" spans="3:21" x14ac:dyDescent="0.25">
      <c r="D91" s="5">
        <v>529.78</v>
      </c>
      <c r="E91" s="6">
        <v>23.01</v>
      </c>
      <c r="F91" s="6">
        <v>12</v>
      </c>
      <c r="G91" s="6">
        <v>78</v>
      </c>
      <c r="H91" s="7">
        <v>167</v>
      </c>
      <c r="K91" s="5">
        <v>455.73</v>
      </c>
      <c r="L91" s="6">
        <v>23.11</v>
      </c>
      <c r="M91" s="6">
        <v>30</v>
      </c>
      <c r="N91" s="6">
        <v>72</v>
      </c>
      <c r="O91" s="7">
        <v>226</v>
      </c>
    </row>
    <row r="92" spans="3:21" x14ac:dyDescent="0.25">
      <c r="D92" s="5">
        <v>542.82000000000005</v>
      </c>
      <c r="E92" s="6">
        <v>22.85</v>
      </c>
      <c r="F92" s="6">
        <v>11</v>
      </c>
      <c r="G92" s="6">
        <v>60</v>
      </c>
      <c r="H92" s="7">
        <v>197</v>
      </c>
      <c r="K92" s="5">
        <v>443.09</v>
      </c>
      <c r="L92" s="6">
        <v>23.07</v>
      </c>
      <c r="M92" s="6">
        <v>30</v>
      </c>
      <c r="N92" s="6">
        <v>105</v>
      </c>
      <c r="O92" s="7">
        <v>211</v>
      </c>
    </row>
    <row r="93" spans="3:21" x14ac:dyDescent="0.25">
      <c r="D93" s="5">
        <v>547.5</v>
      </c>
      <c r="E93" s="6">
        <v>23.1</v>
      </c>
      <c r="F93" s="6">
        <v>12</v>
      </c>
      <c r="G93" s="6">
        <v>59</v>
      </c>
      <c r="H93" s="7">
        <v>210</v>
      </c>
      <c r="K93" s="5">
        <v>457</v>
      </c>
      <c r="L93" s="6">
        <v>23.12</v>
      </c>
      <c r="M93" s="6">
        <v>80</v>
      </c>
      <c r="N93" s="6">
        <v>81</v>
      </c>
      <c r="O93" s="7">
        <v>206</v>
      </c>
    </row>
    <row r="94" spans="3:21" x14ac:dyDescent="0.25">
      <c r="D94" s="5">
        <v>540.11</v>
      </c>
      <c r="E94" s="6">
        <v>22.9</v>
      </c>
      <c r="F94" s="6">
        <v>10</v>
      </c>
      <c r="G94" s="6">
        <v>80</v>
      </c>
      <c r="H94" s="7">
        <v>201</v>
      </c>
      <c r="K94" s="5">
        <v>474.35</v>
      </c>
      <c r="L94" s="6">
        <v>23.03</v>
      </c>
      <c r="M94" s="6">
        <v>36</v>
      </c>
      <c r="N94" s="6">
        <v>80</v>
      </c>
      <c r="O94" s="7">
        <v>203</v>
      </c>
    </row>
    <row r="95" spans="3:21" x14ac:dyDescent="0.25">
      <c r="D95" s="5">
        <v>552.27</v>
      </c>
      <c r="E95" s="6">
        <v>23.29</v>
      </c>
      <c r="F95" s="6">
        <v>10</v>
      </c>
      <c r="G95" s="6">
        <v>62</v>
      </c>
      <c r="H95" s="7">
        <v>214</v>
      </c>
      <c r="K95" s="5">
        <v>290.25</v>
      </c>
      <c r="L95" s="6">
        <v>22.87</v>
      </c>
      <c r="M95" s="6">
        <v>23</v>
      </c>
      <c r="N95" s="6">
        <v>126</v>
      </c>
      <c r="O95" s="7">
        <v>193</v>
      </c>
    </row>
    <row r="96" spans="3:21" x14ac:dyDescent="0.25">
      <c r="D96" s="5">
        <v>551.16999999999996</v>
      </c>
      <c r="E96" s="6">
        <v>23.04</v>
      </c>
      <c r="F96" s="6">
        <v>11</v>
      </c>
      <c r="G96" s="6">
        <v>57</v>
      </c>
      <c r="H96" s="7">
        <v>202</v>
      </c>
      <c r="K96" s="5">
        <v>516.27</v>
      </c>
      <c r="L96" s="6">
        <v>23</v>
      </c>
      <c r="M96" s="6">
        <v>15</v>
      </c>
      <c r="N96" s="6">
        <v>105</v>
      </c>
      <c r="O96" s="7">
        <v>205</v>
      </c>
    </row>
    <row r="97" spans="4:21" x14ac:dyDescent="0.25">
      <c r="D97" s="5">
        <v>540</v>
      </c>
      <c r="E97" s="6">
        <v>23.08</v>
      </c>
      <c r="F97" s="6">
        <v>10</v>
      </c>
      <c r="G97" s="6">
        <v>64</v>
      </c>
      <c r="H97" s="7">
        <v>214</v>
      </c>
      <c r="K97" s="5">
        <v>323.2</v>
      </c>
      <c r="L97" s="6">
        <v>23.01</v>
      </c>
      <c r="M97" s="6">
        <v>80</v>
      </c>
      <c r="N97" s="6">
        <v>111</v>
      </c>
      <c r="O97" s="7">
        <v>200</v>
      </c>
    </row>
    <row r="98" spans="4:21" x14ac:dyDescent="0.25">
      <c r="D98" s="5">
        <v>534.66999999999996</v>
      </c>
      <c r="E98" s="6">
        <v>23.02</v>
      </c>
      <c r="F98" s="6">
        <v>10</v>
      </c>
      <c r="G98" s="6">
        <v>49</v>
      </c>
      <c r="H98" s="7">
        <v>203</v>
      </c>
      <c r="K98" s="5">
        <v>476.28</v>
      </c>
      <c r="L98" s="6">
        <v>23.08</v>
      </c>
      <c r="M98" s="6">
        <v>31</v>
      </c>
      <c r="N98" s="6">
        <v>83</v>
      </c>
      <c r="O98" s="7">
        <v>193</v>
      </c>
    </row>
    <row r="99" spans="4:21" x14ac:dyDescent="0.25">
      <c r="D99" s="5">
        <v>543.16</v>
      </c>
      <c r="E99" s="6">
        <v>23.07</v>
      </c>
      <c r="F99" s="6">
        <v>10</v>
      </c>
      <c r="G99" s="6">
        <v>57</v>
      </c>
      <c r="H99" s="7">
        <v>203</v>
      </c>
      <c r="K99" s="5">
        <v>486.12</v>
      </c>
      <c r="L99" s="6">
        <v>23.23</v>
      </c>
      <c r="M99" s="6">
        <v>26</v>
      </c>
      <c r="N99" s="6">
        <v>80</v>
      </c>
      <c r="O99" s="7">
        <v>195</v>
      </c>
    </row>
    <row r="100" spans="4:21" x14ac:dyDescent="0.25">
      <c r="D100" s="8">
        <v>555.79</v>
      </c>
      <c r="E100" s="9">
        <v>23.11</v>
      </c>
      <c r="F100" s="9">
        <v>11</v>
      </c>
      <c r="G100" s="9">
        <v>55</v>
      </c>
      <c r="H100" s="10">
        <v>209</v>
      </c>
      <c r="K100" s="8">
        <v>329.7</v>
      </c>
      <c r="L100" s="9">
        <v>23.1</v>
      </c>
      <c r="M100" s="9">
        <v>63</v>
      </c>
      <c r="N100" s="9">
        <v>107</v>
      </c>
      <c r="O100" s="10">
        <v>200</v>
      </c>
    </row>
    <row r="102" spans="4:21" x14ac:dyDescent="0.25">
      <c r="D102" t="s">
        <v>13</v>
      </c>
      <c r="K102" t="s">
        <v>22</v>
      </c>
    </row>
    <row r="103" spans="4:21" x14ac:dyDescent="0.25">
      <c r="D103" t="s">
        <v>0</v>
      </c>
      <c r="E103" t="s">
        <v>1</v>
      </c>
      <c r="F103" t="s">
        <v>2</v>
      </c>
      <c r="G103" t="s">
        <v>3</v>
      </c>
      <c r="H103" t="s">
        <v>4</v>
      </c>
      <c r="K103" t="s">
        <v>0</v>
      </c>
      <c r="L103" t="s">
        <v>1</v>
      </c>
      <c r="M103" t="s">
        <v>2</v>
      </c>
      <c r="N103" t="s">
        <v>3</v>
      </c>
      <c r="O103" t="s">
        <v>4</v>
      </c>
      <c r="Q103" t="s">
        <v>14</v>
      </c>
      <c r="R103" t="s">
        <v>15</v>
      </c>
      <c r="S103" t="s">
        <v>16</v>
      </c>
      <c r="T103" t="s">
        <v>17</v>
      </c>
      <c r="U103" t="s">
        <v>18</v>
      </c>
    </row>
    <row r="104" spans="4:21" x14ac:dyDescent="0.25">
      <c r="D104" s="1">
        <f t="shared" ref="D104:H104" si="15">AVERAGE(D91:D100)</f>
        <v>543.72699999999998</v>
      </c>
      <c r="E104" s="1">
        <f t="shared" si="15"/>
        <v>23.046999999999997</v>
      </c>
      <c r="F104" s="1">
        <f t="shared" si="15"/>
        <v>10.7</v>
      </c>
      <c r="G104" s="1">
        <f t="shared" si="15"/>
        <v>62.1</v>
      </c>
      <c r="H104" s="1">
        <f t="shared" si="15"/>
        <v>202</v>
      </c>
      <c r="I104" s="1"/>
      <c r="J104" s="1"/>
      <c r="K104" s="1">
        <f t="shared" ref="K104:O104" si="16">AVERAGE(K91:K100)</f>
        <v>425.19899999999996</v>
      </c>
      <c r="L104" s="1">
        <f t="shared" si="16"/>
        <v>23.061999999999994</v>
      </c>
      <c r="M104" s="1">
        <f t="shared" si="16"/>
        <v>41.4</v>
      </c>
      <c r="N104" s="1">
        <f t="shared" si="16"/>
        <v>95</v>
      </c>
      <c r="O104" s="1">
        <f t="shared" si="16"/>
        <v>203.2</v>
      </c>
      <c r="Q104" s="1">
        <f>STDEVA(K91:K100)</f>
        <v>79.602488577793878</v>
      </c>
      <c r="R104" s="1">
        <f t="shared" ref="R104:U104" si="17">STDEVA(L91:L100)</f>
        <v>9.4375137968993855E-2</v>
      </c>
      <c r="S104" s="1">
        <f t="shared" si="17"/>
        <v>23.843005030593126</v>
      </c>
      <c r="T104" s="1">
        <f t="shared" si="17"/>
        <v>17.888543819998318</v>
      </c>
      <c r="U104" s="1">
        <f t="shared" si="17"/>
        <v>9.9308721783246305</v>
      </c>
    </row>
  </sheetData>
  <mergeCells count="2">
    <mergeCell ref="D2:I3"/>
    <mergeCell ref="K2:P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99a9a9-f99e-4d64-82ae-ae27da646d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0116236E4F90469505D90DA671B2B6" ma:contentTypeVersion="6" ma:contentTypeDescription="Create a new document." ma:contentTypeScope="" ma:versionID="783b2b72a08c311d7acc05b1e3289fc3">
  <xsd:schema xmlns:xsd="http://www.w3.org/2001/XMLSchema" xmlns:xs="http://www.w3.org/2001/XMLSchema" xmlns:p="http://schemas.microsoft.com/office/2006/metadata/properties" xmlns:ns3="a399a9a9-f99e-4d64-82ae-ae27da646dd5" targetNamespace="http://schemas.microsoft.com/office/2006/metadata/properties" ma:root="true" ma:fieldsID="6e98e74b85d292d11d226c637786dca7" ns3:_="">
    <xsd:import namespace="a399a9a9-f99e-4d64-82ae-ae27da646dd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9a9a9-f99e-4d64-82ae-ae27da646dd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A0060E-CFAA-4C43-8FA9-F3D3C345B5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12E7AD-9E75-4FB8-AE00-1EE3C58FAAD0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a399a9a9-f99e-4d64-82ae-ae27da646dd5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CB0323E-F417-46FB-8D77-060C32A44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99a9a9-f99e-4d64-82ae-ae27da646d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Urias</dc:creator>
  <cp:lastModifiedBy>Devin Urias</cp:lastModifiedBy>
  <cp:lastPrinted>2026-08-19T20:14:22Z</cp:lastPrinted>
  <dcterms:created xsi:type="dcterms:W3CDTF">2026-08-11T16:33:49Z</dcterms:created>
  <dcterms:modified xsi:type="dcterms:W3CDTF">2026-08-23T23:11:50Z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0x010100180116236E4F90469505D90DA671B2B6</vt:lpwstr>
  </property>
</Properties>
</file>